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0712684708024d53" /></Relationships>
</file>

<file path=xl/workbook.xml><?xml version="1.0" encoding="utf-8"?>
<x:workbook xmlns:x="http://schemas.openxmlformats.org/spreadsheetml/2006/main">
  <x:sheets>
    <x:sheet xmlns:r="http://schemas.openxmlformats.org/officeDocument/2006/relationships" name="Executive" sheetId="1" r:id="R9861dba0296d45f6"/>
    <x:sheet xmlns:r="http://schemas.openxmlformats.org/officeDocument/2006/relationships" name="Article Scores" sheetId="2" r:id="Rb7a2bed20dfb453c"/>
    <x:sheet xmlns:r="http://schemas.openxmlformats.org/officeDocument/2006/relationships" name="8 Dimensions" sheetId="3" r:id="Rd33107332ce34329"/>
    <x:sheet xmlns:r="http://schemas.openxmlformats.org/officeDocument/2006/relationships" name="Issues" sheetId="4" r:id="Ree2f2d22e1444f59"/>
    <x:sheet xmlns:r="http://schemas.openxmlformats.org/officeDocument/2006/relationships" name="Criteria 260" sheetId="5" r:id="R50bda75a6bc04dbf"/>
    <x:sheet xmlns:r="http://schemas.openxmlformats.org/officeDocument/2006/relationships" name="Strengths" sheetId="6" r:id="R3ded3ee003bc4225"/>
    <x:sheet xmlns:r="http://schemas.openxmlformats.org/officeDocument/2006/relationships" name="Mini Guide" sheetId="7" r:id="R2c4cc72c76c2499e"/>
    <x:sheet xmlns:r="http://schemas.openxmlformats.org/officeDocument/2006/relationships" name="Methodology" sheetId="8" r:id="Rf834b8368d8a426e"/>
    <x:sheet xmlns:r="http://schemas.openxmlformats.org/officeDocument/2006/relationships" name="Manager Decisions" sheetId="9" r:id="Rd4cac63e86a64cce"/>
  </x:sheets>
</x:workbook>
</file>

<file path=xl/sharedStrings.xml><?xml version="1.0" encoding="utf-8"?>
<x:sst xmlns:x="http://schemas.openxmlformats.org/spreadsheetml/2006/main">
  <x:si>
    <x:t xml:space="preserve">PRINT247  |  MARYAM CONTENT EVALUATION</x:t>
  </x:si>
  <x:si>
    <x:t xml:space="preserve">Current writer score</x:t>
  </x:si>
  <x:si>
    <x:t xml:space="preserve">Articles evaluated</x:t>
  </x:si>
  <x:si>
    <x:t xml:space="preserve">Proposed minimum*</x:t>
  </x:si>
  <x:si>
    <x:t xml:space="preserve">Active scored issues</x:t>
  </x:si>
  <x:si>
    <x:t xml:space="preserve">Material FAIL findings</x:t>
  </x:si>
  <x:si>
    <x:t xml:space="preserve">Improvement opportunities</x:t>
  </x:si>
  <x:si>
    <x:t xml:space="preserve">Article</x:t>
  </x:si>
  <x:si>
    <x:t xml:space="preserve">Score /100</x:t>
  </x:si>
  <x:si>
    <x:t xml:space="preserve">Material FAIL</x:t>
  </x:si>
  <x:si>
    <x:t xml:space="preserve">Improvements</x:t>
  </x:si>
  <x:si>
    <x:t xml:space="preserve">Editorial disposition</x:t>
  </x:si>
  <x:si>
    <x:t xml:space="preserve">Custom Retail Boxes vs. Stock Boxes</x:t>
  </x:si>
  <x:si>
    <x:t xml:space="preserve">Magnetic Closure Boxes for Luxury Packaging</x:t>
  </x:si>
  <x:si>
    <x:t xml:space="preserve">Mylar Bag Closure Styles and Sealing Methods</x:t>
  </x:si>
  <x:si>
    <x:t xml:space="preserve">SCORING PRINCIPLE  ·  Verified material mistakes count once; ordinary promotions and acceptable styles incur no arbitrary penalty.</x:t>
  </x:si>
  <x:si>
    <x:t xml:space="preserve">Maryam · Article Performance</x:t>
  </x:si>
  <x:si>
    <x:t xml:space="preserve">Current balanced evaluation · 3 articles · Hassan/Fizza management template</x:t>
  </x:si>
  <x:si>
    <x:t xml:space="preserve">#</x:t>
  </x:si>
  <x:si>
    <x:t xml:space="preserve">Published URL</x:t>
  </x:si>
  <x:si>
    <x:t xml:space="preserve">Against proposed 70</x:t>
  </x:si>
  <x:si>
    <x:t xml:space="preserve">Management action</x:t>
  </x:si>
  <x:si>
    <x:t xml:space="preserve">https://print247.us/post/custom-retail-boxes-vs-stock-boxes-which-one-is-better</x:t>
  </x:si>
  <x:si>
    <x:t xml:space="preserve">Meets proposed benchmark</x:t>
  </x:si>
  <x:si>
    <x:t xml:space="preserve">https://print247.us/post/choose-magnetic-closure-boxes</x:t>
  </x:si>
  <x:si>
    <x:t xml:space="preserve">https://print247.us/post/complete-guide-to-mylar-bag-closure-styles-and-sealing-methods</x:t>
  </x:si>
  <x:si>
    <x:t xml:space="preserve">Eight Scoring Dimensions</x:t>
  </x:si>
  <x:si>
    <x:t xml:space="preserve">Maryam · Independently assessed evidence ratings. Repeated issue references do not multiply penalties.</x:t>
  </x:si>
  <x:si>
    <x:t xml:space="preserve">Article #</x:t>
  </x:si>
  <x:si>
    <x:t xml:space="preserve">Dimension</x:t>
  </x:si>
  <x:si>
    <x:t xml:space="preserve">Weight %</x:t>
  </x:si>
  <x:si>
    <x:t xml:space="preserve">Rating /5</x:t>
  </x:si>
  <x:si>
    <x:t xml:space="preserve">Weighted /100</x:t>
  </x:si>
  <x:si>
    <x:t xml:space="preserve">Issue IDs (primary only)</x:t>
  </x:si>
  <x:si>
    <x:t xml:space="preserve">Reasoned rating basis</x:t>
  </x:si>
  <x:si>
    <x:t xml:space="preserve">Topic &amp; search intent</x:t>
  </x:si>
  <x:si>
    <x:t xml:space="preserve">Directly addresses custom vs stock decision with definitions, benefits and when-to-choose sections.</x:t>
  </x:si>
  <x:si>
    <x:t xml:space="preserve">Factual &amp; technical accuracy</x:t>
  </x:si>
  <x:si>
    <x:t xml:space="preserve">Semantic completeness &amp; information value</x:t>
  </x:si>
  <x:si>
    <x:t xml:space="preserve">Covers stock/custom materials, order volume, presentation, filler, lead time and a hybrid alternative.</x:t>
  </x:si>
  <x:si>
    <x:t xml:space="preserve">Practical usefulness &amp; decision support</x:t>
  </x:si>
  <x:si>
    <x:t xml:space="preserve">Decision checklist and comparison tables are genuinely actionable; buyers still need quoted cost inputs.</x:t>
  </x:si>
  <x:si>
    <x:t xml:space="preserve">Content structure &amp; readability</x:t>
  </x:si>
  <x:si>
    <x:t xml:space="preserve">Clear comparisons, concise key learning, and logical conclusions; normal sales language is acceptable.</x:t>
  </x:si>
  <x:si>
    <x:t xml:space="preserve">Natural SEO integration</x:t>
  </x:si>
  <x:si>
    <x:t xml:space="preserve">Target phrase and supporting stock/custom box terms appear in natural headings and text.</x:t>
  </x:si>
  <x:si>
    <x:t xml:space="preserve">B2B audience &amp; commercial relevance</x:t>
  </x:si>
  <x:si>
    <x:t xml:space="preserve">Discusses startup needs, procurement budget, inventory and customization trade-offs.</x:t>
  </x:si>
  <x:si>
    <x:t xml:space="preserve">Editorial quality &amp; consistency</x:t>
  </x:si>
  <x:si>
    <x:t xml:space="preserve">Readable US-focused commercial explanation; isolated wording differences do not merit a penalty.</x:t>
  </x:si>
  <x:si>
    <x:t xml:space="preserve">The article explains why brands select magnetic presentation boxes for premium products.</x:t>
  </x:si>
  <x:si>
    <x:t xml:space="preserve">Covers magnetic closure construction, fold-flat vs rigid, gifting, finishes, and FAQs.</x:t>
  </x:si>
  <x:si>
    <x:t xml:space="preserve">Logical benefit-led narrative; repeated commercial enthusiasm is an acceptable writing choice.</x:t>
  </x:si>
  <x:si>
    <x:t xml:space="preserve">Main entity and relevant closure/presentation modifiers appear naturally.</x:t>
  </x:si>
  <x:si>
    <x:t xml:space="preserve">Targets luxury retail, gifting, e-commerce and packaging buyers with specific applications.</x:t>
  </x:si>
  <x:si>
    <x:t xml:space="preserve">Readable and professionally promotional; routine branding claims are not treated as factual failures.</x:t>
  </x:si>
  <x:si>
    <x:t xml:space="preserve">Closures versus permanent seals are distinguished early and answered thoroughly.</x:t>
  </x:si>
  <x:si>
    <x:t xml:space="preserve">Covers zippers, sliders, child resistance, fitments, heat equipment, and product selection table.</x:t>
  </x:si>
  <x:si>
    <x:t xml:space="preserve">The product-matching table is useful; important technical fixes are needed before relying on oxygen/food preservation guidance.</x:t>
  </x:si>
  <x:si>
    <x:t xml:space="preserve">Clear stepwise progression; normal introduction and sales language are acceptable.</x:t>
  </x:si>
  <x:si>
    <x:t xml:space="preserve">Target phrase and closure/sealer variations fit their sections without evident stuffing.</x:t>
  </x:si>
  <x:si>
    <x:t xml:space="preserve">MY-B03-04</x:t>
  </x:si>
  <x:si>
    <x:t xml:space="preserve">Food, supplements, powders, and pet-product buyer use cases are discussed.</x:t>
  </x:si>
  <x:si>
    <x:t xml:space="preserve">Technical confidence sometimes outpaces evidence, but wording remains understandable.</x:t>
  </x:si>
  <x:si>
    <x:t xml:space="preserve">Current Issues &amp; Recommendations</x:t>
  </x:si>
  <x:si>
    <x:t xml:space="preserve">Distinct active evidence-linked findings only. Routine promotion, rejected judgments and unverified claims are not automatic FAIL ratings.</x:t>
  </x:si>
  <x:si>
    <x:t xml:space="preserve">Issue ID</x:t>
  </x:si>
  <x:si>
    <x:t xml:space="preserve">Status</x:t>
  </x:si>
  <x:si>
    <x:t xml:space="preserve">Priority</x:t>
  </x:si>
  <x:si>
    <x:t xml:space="preserve">Finding</x:t>
  </x:si>
  <x:si>
    <x:t xml:space="preserve">Published excerpt (short)</x:t>
  </x:si>
  <x:si>
    <x:t xml:space="preserve">Reason for assessment</x:t>
  </x:si>
  <x:si>
    <x:t xml:space="preserve">Recommended correction</x:t>
  </x:si>
  <x:si>
    <x:t xml:space="preserve">Source lines</x:t>
  </x:si>
  <x:si>
    <x:t xml:space="preserve">Original URL</x:t>
  </x:si>
  <x:si>
    <x:t xml:space="preserve">MY-B01-02</x:t>
  </x:si>
  <x:si>
    <x:t xml:space="preserve">NEEDS IMPROVEMENT</x:t>
  </x:si>
  <x:si>
    <x:t xml:space="preserve">Medium</x:t>
  </x:si>
  <x:si>
    <x:t xml:space="preserve">Numerical price premium and MOQ ranges need qualification</x:t>
  </x:si>
  <x:si>
    <x:t xml:space="preserve">30–200% more; Usually 1,000+ boxes; Minimum 500–1,000+ units</x:t>
  </x:si>
  <x:si>
    <x:t xml:space="preserve">The price premium is presented as a generalized benchmark without a quote basis, and two MOQ tables use different lower bounds. The numbers may represent valid supplier examples but cannot be treated as universal.</x:t>
  </x:si>
  <x:si>
    <x:t xml:space="preserve">Use: Custom-box prices and minimums vary by manufacturer, artwork, board grade, finish and quantity. Request comparable unit quotes; MOQ may start at hundreds or thousands, depending on the product. SIMPLY USE THE WORD 'USUALLY' before the  number</x:t>
  </x:si>
  <x:si>
    <x:t xml:space="preserve">L264–265; L309–313</x:t>
  </x:si>
  <x:si>
    <x:t xml:space="preserve">MY-B01-03</x:t>
  </x:si>
  <x:si>
    <x:t xml:space="preserve">Low</x:t>
  </x:si>
  <x:si>
    <x:t xml:space="preserve">Stock-box definition unnecessarily excludes printed variants</x:t>
  </x:si>
  <x:si>
    <x:t xml:space="preserve">Stock boxes are standard boxes made in pre-cut sizes. These boxes are plain and unbleached with no artwork.</x:t>
  </x:si>
  <x:si>
    <x:t xml:space="preserve">Off-the-shelf boxes are defined mainly by standard sizes and ready availability; some are white, colored or preprinted. This is a modest buyer-facing terminology refinement, not a major failure.</x:t>
  </x:si>
  <x:si>
    <x:t xml:space="preserve">Replace second sentence with: Stock boxes are typically available in standard sizes and finishes; many are plain, but preprinted or colored options also exist.</x:t>
  </x:si>
  <x:si>
    <x:t xml:space="preserve">L250–253</x:t>
  </x:si>
  <x:si>
    <x:t xml:space="preserve">MY-B03-02</x:t>
  </x:si>
  <x:si>
    <x:t xml:space="preserve">FAIL</x:t>
  </x:si>
  <x:si>
    <x:t xml:space="preserve">High</x:t>
  </x:si>
  <x:si>
    <x:t xml:space="preserve">Heat seals described as completely excluding oxygen</x:t>
  </x:si>
  <x:si>
    <x:t xml:space="preserve">Heat seals melt the plastic and get stuck together, blocking oxygen completely.</x:t>
  </x:si>
  <x:si>
    <x:t xml:space="preserve">L309–314; L268–274</x:t>
  </x:si>
  <x:si>
    <x:t xml:space="preserve">MY-B03-03</x:t>
  </x:si>
  <x:si>
    <x:t xml:space="preserve">Vacuum packing confused with oxygen removal and complete safety</x:t>
  </x:si>
  <x:si>
    <x:t xml:space="preserve">Mylar bag vacuum sealer removes the oxygen first from the bag for complete safety</x:t>
  </x:si>
  <x:si>
    <x:t xml:space="preserve">L285–287; L318–320</x:t>
  </x:si>
  <x:si>
    <x:t xml:space="preserve">Regulated child-resistant application needs approval condition</x:t>
  </x:si>
  <x:si>
    <x:t xml:space="preserve">Such closures for custom Mylar bags are best for medicines and supplements.</x:t>
  </x:si>
  <x:si>
    <x:t xml:space="preserve">Child-resistant performance is product- and jurisdiction-specific; not every zipper styled as resistant satisfies applicable testing or product-packaging rules. This needs a concise qualification, not a claim that the article violates law.</x:t>
  </x:si>
  <x:si>
    <x:t xml:space="preserve">Add: Where child-resistant packaging is required, request validated closure specifications and confirm applicable product and jurisdiction requirements with the supplier.</x:t>
  </x:si>
  <x:si>
    <x:t xml:space="preserve">L255–258</x:t>
  </x:si>
  <x:si>
    <x:t xml:space="preserve">52 diagnostic checks × 3 articles = 156 actual assessments</x:t>
  </x:si>
  <x:si>
    <x:t xml:space="preserve">PASS · ACCEPTABLE · NEEDS IMPROVEMENT · FAIL · N/A · NOT VERIFIED. Diagnostic checks inform but do not mechanically deduct ratings.</x:t>
  </x:si>
  <x:si>
    <x:t xml:space="preserve">Check ID</x:t>
  </x:si>
  <x:si>
    <x:t xml:space="preserve">Section</x:t>
  </x:si>
  <x:si>
    <x:t xml:space="preserve">Question</x:t>
  </x:si>
  <x:si>
    <x:t xml:space="preserve">Balanced status</x:t>
  </x:si>
  <x:si>
    <x:t xml:space="preserve">Evidence/rationale</x:t>
  </x:si>
  <x:si>
    <x:t xml:space="preserve">Related unique issue IDs</x:t>
  </x:si>
  <x:si>
    <x:t xml:space="preserve">Article lines / URL</x:t>
  </x:si>
  <x:si>
    <x:t xml:space="preserve">0-0</x:t>
  </x:si>
  <x:si>
    <x:t xml:space="preserve">Search Intent &amp; Topic Targeting</x:t>
  </x:si>
  <x:si>
    <x:t xml:space="preserve">The article has a clear primary topic and target query.</x:t>
  </x:si>
  <x:si>
    <x:t xml:space="preserve">PASS</x:t>
  </x:si>
  <x:si>
    <x:t xml:space="preserve">The published H1 and body directly address: Custom Retail Boxes vs. Stock Boxes.</x:t>
  </x:si>
  <x:si>
    <x:t xml:space="preserve">0-1</x:t>
  </x:si>
  <x:si>
    <x:t xml:space="preserve">The title accurately reflects what the article delivers.</x:t>
  </x:si>
  <x:si>
    <x:t xml:space="preserve">The published title matches the topics delivered: Definitions, comparison, stock-box use cases, cost table, selection checklist and FAQ..</x:t>
  </x:si>
  <x:si>
    <x:t xml:space="preserve">0-2</x:t>
  </x:si>
  <x:si>
    <x:t xml:space="preserve">The introduction answers or directly addresses the main search intent.</x:t>
  </x:si>
  <x:si>
    <x:t xml:space="preserve">ACCEPTABLE</x:t>
  </x:si>
  <x:si>
    <x:t xml:space="preserve">The introduction is relevant: Comparison frames the custom-vs-stock buyer choice and promises practical selection guidance.. Direct-answer placement is not mandatory.</x:t>
  </x:si>
  <x:si>
    <x:t xml:space="preserve">0-3</x:t>
  </x:si>
  <x:si>
    <x:t xml:space="preserve">The content solves the reader’s primary problem.</x:t>
  </x:si>
  <x:si>
    <x:t xml:space="preserve">The article provides an answer through: Definitions, comparison, stock-box use cases, cost table, selection checklist and FAQ..</x:t>
  </x:si>
  <x:si>
    <x:t xml:space="preserve">0-4</x:t>
  </x:si>
  <x:si>
    <x:t xml:space="preserve">Sections stay focused on the main topic without unnecessary tangents.</x:t>
  </x:si>
  <x:si>
    <x:t xml:space="preserve">Subsections remain relevant to: Definitions, comparison, stock-box use cases, cost table, selection checklist and FAQ.; ordinary marketing context is acceptable.</x:t>
  </x:si>
  <x:si>
    <x:t xml:space="preserve">0-5</x:t>
  </x:si>
  <x:si>
    <x:t xml:space="preserve">The article matches the expected informational or commercial intent.</x:t>
  </x:si>
  <x:si>
    <x:t xml:space="preserve">Informational/commercial intent addressed by: Stock/custom tradeoffs: MOQ, timing, filler needs, branding and storage..</x:t>
  </x:si>
  <x:si>
    <x:t xml:space="preserve">1-0</x:t>
  </x:si>
  <x:si>
    <x:t xml:space="preserve">Factual Accuracy &amp; Research</x:t>
  </x:si>
  <x:si>
    <x:t xml:space="preserve">Product, material, and packaging terminology is accurate.</x:t>
  </x:si>
  <x:si>
    <x:t xml:space="preserve">MY-B01-03: Stock-box definition unnecessarily excludes printed variants — Off-the-shelf boxes are defined mainly by standard sizes and ready availability; some are white, colored or preprinted. This is a modest buyer-facing terminology refinement, not a major failure.</x:t>
  </x:si>
  <x:si>
    <x:t xml:space="preserve">L250–253 · https://print247.us/post/custom-retail-boxes-vs-stock-boxes-which-one-is-better</x:t>
  </x:si>
  <x:si>
    <x:t xml:space="preserve">1-1</x:t>
  </x:si>
  <x:si>
    <x:t xml:space="preserve">Specifications, dimensions, and technical statements are correct.</x:t>
  </x:si>
  <x:si>
    <x:t xml:space="preserve">1-2</x:t>
  </x:si>
  <x:si>
    <x:t xml:space="preserve">Statistics and significant factual claims have credible support.</x:t>
  </x:si>
  <x:si>
    <x:t xml:space="preserve">MY-B01-02: Numerical price premium and MOQ ranges need qualification — The price premium is presented as a generalized benchmark without a quote basis, and two MOQ tables use different lower bounds. The numbers may represent valid supplier examples but cannot be treated as universal.</x:t>
  </x:si>
  <x:si>
    <x:t xml:space="preserve">L264–265; L309–313 · https://print247.us/post/custom-retail-boxes-vs-stock-boxes-which-one-is-better</x:t>
  </x:si>
  <x:si>
    <x:t xml:space="preserve">1-3</x:t>
  </x:si>
  <x:si>
    <x:t xml:space="preserve">The content contains no misleading or contradictory claims.</x:t>
  </x:si>
  <x:si>
    <x:t xml:space="preserve">1-4</x:t>
  </x:si>
  <x:si>
    <x:t xml:space="preserve">Explanations demonstrate genuine subject-matter understanding.</x:t>
  </x:si>
  <x:si>
    <x:t xml:space="preserve">1-5</x:t>
  </x:si>
  <x:si>
    <x:t xml:space="preserve">The information is relevant and accurate for US B2B buyers.</x:t>
  </x:si>
  <x:si>
    <x:t xml:space="preserve">US B2B context: Stock/custom tradeoffs: MOQ, timing, filler needs, branding and storage..</x:t>
  </x:si>
  <x:si>
    <x:t xml:space="preserve">2-0</x:t>
  </x:si>
  <x:si>
    <x:t xml:space="preserve">Semantic SEO &amp; Topical Coverage</x:t>
  </x:si>
  <x:si>
    <x:t xml:space="preserve">Important entities, attributes, and subtopics are covered.</x:t>
  </x:si>
  <x:si>
    <x:t xml:space="preserve">Core relevant entities and subtopics include Definitions, comparison, stock-box use cases, cost table, selection checklist and FAQ..</x:t>
  </x:si>
  <x:si>
    <x:t xml:space="preserve">2-1</x:t>
  </x:si>
  <x:si>
    <x:t xml:space="preserve">The article explains meaningful relationships between concepts.</x:t>
  </x:si>
  <x:si>
    <x:t xml:space="preserve">Explains relevant choices or relationships using Comparison tables (L257–270, L309–318); hybrid strategy FAQ (L352–354)..</x:t>
  </x:si>
  <x:si>
    <x:t xml:space="preserve">2-2</x:t>
  </x:si>
  <x:si>
    <x:t xml:space="preserve">H2 and H3 headings follow a logical topical hierarchy.</x:t>
  </x:si>
  <x:si>
    <x:t xml:space="preserve">Headings group Definitions, comparison, stock-box use cases, cost table, selection checklist and FAQ. in an understandable progression.</x:t>
  </x:si>
  <x:si>
    <x:t xml:space="preserve">2-3</x:t>
  </x:si>
  <x:si>
    <x:t xml:space="preserve">Essential questions and decision factors are answered.</x:t>
  </x:si>
  <x:si>
    <x:t xml:space="preserve">The body answers its core decision questions through Comparison tables (L257–270, L309–318); hybrid strategy FAQ (L352–354)..</x:t>
  </x:si>
  <x:si>
    <x:t xml:space="preserve">2-4</x:t>
  </x:si>
  <x:si>
    <x:t xml:space="preserve">There are no major topical gaps that prevent intent satisfaction.</x:t>
  </x:si>
  <x:si>
    <x:t xml:space="preserve">The core purpose is addressed by the sections listed; minor optional additions are not a major topical gap.</x:t>
  </x:si>
  <x:si>
    <x:t xml:space="preserve">2-5</x:t>
  </x:si>
  <x:si>
    <x:t xml:space="preserve">Sections add distinct value instead of repeating the same information.</x:t>
  </x:si>
  <x:si>
    <x:t xml:space="preserve">Each main group adds at least one topic or buyer function; routine recap and sales language are acceptable.</x:t>
  </x:si>
  <x:si>
    <x:t xml:space="preserve">3-0</x:t>
  </x:si>
  <x:si>
    <x:t xml:space="preserve">Originality &amp; Information Gain</x:t>
  </x:si>
  <x:si>
    <x:t xml:space="preserve">The article provides more than generic definitions or descriptions.</x:t>
  </x:si>
  <x:si>
    <x:t xml:space="preserve">Beyond a definition, it includes practical material: Comparison tables (L257–270, L309–318); hybrid strategy FAQ (L352–354)..</x:t>
  </x:si>
  <x:si>
    <x:t xml:space="preserve">3-1</x:t>
  </x:si>
  <x:si>
    <x:t xml:space="preserve">Practical examples or specific applications are included where useful.</x:t>
  </x:si>
  <x:si>
    <x:t xml:space="preserve">Examples/applications are present: Comparison tables (L257–270, L309–318); hybrid strategy FAQ (L352–354)..</x:t>
  </x:si>
  <x:si>
    <x:t xml:space="preserve">3-2</x:t>
  </x:si>
  <x:si>
    <x:t xml:space="preserve">Readers receive actionable advice or decision-making guidance.</x:t>
  </x:si>
  <x:si>
    <x:t xml:space="preserve">Actionable decision content is present: Stock/custom tradeoffs: MOQ, timing, filler needs, branding and storage..</x:t>
  </x:si>
  <x:si>
    <x:t xml:space="preserve">3-3</x:t>
  </x:si>
  <x:si>
    <x:t xml:space="preserve">Useful comparisons, specifications, or trade-offs are explained.</x:t>
  </x:si>
  <x:si>
    <x:t xml:space="preserve">3-4</x:t>
  </x:si>
  <x:si>
    <x:t xml:space="preserve">The content offers insights relevant to real packaging purchasing decisions.</x:t>
  </x:si>
  <x:si>
    <x:t xml:space="preserve">3-5</x:t>
  </x:si>
  <x:si>
    <x:t xml:space="preserve">There is no evident substantial duplication or unattributed copying.</x:t>
  </x:si>
  <x:si>
    <x:t xml:space="preserve">NOT VERIFIED</x:t>
  </x:si>
  <x:si>
    <x:t xml:space="preserve">Originality/plagiarism cannot be proved from a published article alone; external comparison not performed.</x:t>
  </x:si>
  <x:si>
    <x:t xml:space="preserve">4-0</x:t>
  </x:si>
  <x:si>
    <x:t xml:space="preserve">Structure &amp; Readability</x:t>
  </x:si>
  <x:si>
    <x:t xml:space="preserve">The introduction is concise and relevant.</x:t>
  </x:si>
  <x:si>
    <x:t xml:space="preserve">The introduction is relevant: Comparison frames the custom-vs-stock buyer choice and promises practical selection guidance.. Background is acceptable when it frames the topic.</x:t>
  </x:si>
  <x:si>
    <x:t xml:space="preserve">4-1</x:t>
  </x:si>
  <x:si>
    <x:t xml:space="preserve">Headings are descriptive, clear, and logically organized.</x:t>
  </x:si>
  <x:si>
    <x:t xml:space="preserve">Headings describe the article’s real sections: Definitions, comparison, stock-box use cases, cost table, selection checklist and FAQ..</x:t>
  </x:si>
  <x:si>
    <x:t xml:space="preserve">4-2</x:t>
  </x:si>
  <x:si>
    <x:t xml:space="preserve">Paragraphs and sentences are easy to follow.</x:t>
  </x:si>
  <x:si>
    <x:t xml:space="preserve">The article’s main examples and instructions are understandable: Comparison tables (L257–270, L309–318); hybrid strategy FAQ (L352–354)..</x:t>
  </x:si>
  <x:si>
    <x:t xml:space="preserve">4-3</x:t>
  </x:si>
  <x:si>
    <x:t xml:space="preserve">The article progresses logically without unnecessary repetition.</x:t>
  </x:si>
  <x:si>
    <x:t xml:space="preserve">The article moves through Definitions, comparison, stock-box use cases, cost table, selection checklist and FAQ. in a logical order. Minor repeated branding is allowed.</x:t>
  </x:si>
  <x:si>
    <x:t xml:space="preserve">4-4</x:t>
  </x:si>
  <x:si>
    <x:t xml:space="preserve">Tables, lists, and examples improve understanding where appropriate.</x:t>
  </x:si>
  <x:si>
    <x:t xml:space="preserve">Comparisons, examples or steps are available: Comparison tables (L257–270, L309–318); hybrid strategy FAQ (L352–354)..</x:t>
  </x:si>
  <x:si>
    <x:t xml:space="preserve">4-5</x:t>
  </x:si>
  <x:si>
    <x:t xml:space="preserve">The conclusion summarizes useful takeaways or next steps.</x:t>
  </x:si>
  <x:si>
    <x:t xml:space="preserve">Closing guidance returns to the packaging or purchasing choice: Stock/custom tradeoffs: MOQ, timing, filler needs, branding and storage..</x:t>
  </x:si>
  <x:si>
    <x:t xml:space="preserve">5-0</x:t>
  </x:si>
  <x:si>
    <x:t xml:space="preserve">Keyword Integration</x:t>
  </x:si>
  <x:si>
    <x:t xml:space="preserve">The primary keyword is used naturally in relevant locations.</x:t>
  </x:si>
  <x:si>
    <x:t xml:space="preserve">Title/H1 and main topic language naturally match Custom Retail Boxes vs. Stock Boxes.</x:t>
  </x:si>
  <x:si>
    <x:t xml:space="preserve">5-1</x:t>
  </x:si>
  <x:si>
    <x:t xml:space="preserve">Supporting terms and variations fit the article’s context.</x:t>
  </x:si>
  <x:si>
    <x:t xml:space="preserve">The wording naturally includes supporting product, material, use and buyer terms.</x:t>
  </x:si>
  <x:si>
    <x:t xml:space="preserve">5-2</x:t>
  </x:si>
  <x:si>
    <x:t xml:space="preserve">Headings are descriptive rather than keyword-stuffed.</x:t>
  </x:si>
  <x:si>
    <x:t xml:space="preserve">Section headings serve navigation rather than apparent keyword repetition: Definitions, comparison, stock-box use cases, cost table, selection checklist and FAQ..</x:t>
  </x:si>
  <x:si>
    <x:t xml:space="preserve">5-3</x:t>
  </x:si>
  <x:si>
    <x:t xml:space="preserve">There is no excessive exact-match keyword repetition.</x:t>
  </x:si>
  <x:si>
    <x:t xml:space="preserve">No material pattern of unnatural exact-keyword repetition was established.</x:t>
  </x:si>
  <x:si>
    <x:t xml:space="preserve">5-4</x:t>
  </x:si>
  <x:si>
    <x:t xml:space="preserve">The article consistently addresses one coherent primary intent.</x:t>
  </x:si>
  <x:si>
    <x:t xml:space="preserve">The guide remains centered on the single intended question: Custom Retail Boxes vs. Stock Boxes.</x:t>
  </x:si>
  <x:si>
    <x:t xml:space="preserve">6-0</x:t>
  </x:si>
  <x:si>
    <x:t xml:space="preserve">B2B Audience &amp; Commercial Alignment</x:t>
  </x:si>
  <x:si>
    <x:t xml:space="preserve">The intended business buyer is clearly identifiable.</x:t>
  </x:si>
  <x:si>
    <x:t xml:space="preserve">The business reader is apparent from: Stock/custom tradeoffs: MOQ, timing, filler needs, branding and storage..</x:t>
  </x:si>
  <x:si>
    <x:t xml:space="preserve">6-1</x:t>
  </x:si>
  <x:si>
    <x:t xml:space="preserve">The content addresses practical business or procurement needs.</x:t>
  </x:si>
  <x:si>
    <x:t xml:space="preserve">Practical procurement and buyer needs covered: Stock/custom tradeoffs: MOQ, timing, filler needs, branding and storage..</x:t>
  </x:si>
  <x:si>
    <x:t xml:space="preserve">6-2</x:t>
  </x:si>
  <x:si>
    <x:t xml:space="preserve">Relevant considerations such as MOQ, customization, materials, printing, or lead times are explained where appropriate.</x:t>
  </x:si>
  <x:si>
    <x:t xml:space="preserve">6-3</x:t>
  </x:si>
  <x:si>
    <x:t xml:space="preserve">The content supports an informed product or packaging decision.</x:t>
  </x:si>
  <x:si>
    <x:t xml:space="preserve">6-4</x:t>
  </x:si>
  <x:si>
    <x:t xml:space="preserve">Product or category references are contextually relevant.</x:t>
  </x:si>
  <x:si>
    <x:t xml:space="preserve">Linked/referenced products are part of its named packaging or printing topic.</x:t>
  </x:si>
  <x:si>
    <x:t xml:space="preserve">6-5</x:t>
  </x:si>
  <x:si>
    <x:t xml:space="preserve">Commercial calls to action are helpful and appropriate to the article’s intent.</x:t>
  </x:si>
  <x:si>
    <x:t xml:space="preserve">Relevant business supplier CTA appears at conclusion; ordinary service promotion is acceptable.</x:t>
  </x:si>
  <x:si>
    <x:t xml:space="preserve">7-0</x:t>
  </x:si>
  <x:si>
    <x:t xml:space="preserve">Internal Linking</x:t>
  </x:si>
  <x:si>
    <x:t xml:space="preserve">Relevant internal links are included where useful.</x:t>
  </x:si>
  <x:si>
    <x:t xml:space="preserve">Published article includes contextual product, category or informational internal links; exhaustive audit not conducted.</x:t>
  </x:si>
  <x:si>
    <x:t xml:space="preserve">7-1</x:t>
  </x:si>
  <x:si>
    <x:t xml:space="preserve">Anchor text clearly describes the destination.</x:t>
  </x:si>
  <x:si>
    <x:t xml:space="preserve">Sample source-anchor wording is descriptive in the published article; exhaustive links untested.</x:t>
  </x:si>
  <x:si>
    <x:t xml:space="preserve">7-2</x:t>
  </x:si>
  <x:si>
    <x:t xml:space="preserve">Linked product, category, or informational pages are contextually relevant.</x:t>
  </x:si>
  <x:si>
    <x:t xml:space="preserve">Observed internal references are contextually related to the article topic.</x:t>
  </x:si>
  <x:si>
    <x:t xml:space="preserve">7-3</x:t>
  </x:si>
  <x:si>
    <x:t xml:space="preserve">Links lead to appropriate working destinations.</x:t>
  </x:si>
  <x:si>
    <x:t xml:space="preserve">A systematic live HTTP/redirect check of every linked destination was not performed.</x:t>
  </x:si>
  <x:si>
    <x:t xml:space="preserve">7-4</x:t>
  </x:si>
  <x:si>
    <x:t xml:space="preserve">Important natural internal linking opportunities are not overlooked.</x:t>
  </x:si>
  <x:si>
    <x:t xml:space="preserve">A complete site inventory and internal-link opportunity analysis was not performed.</x:t>
  </x:si>
  <x:si>
    <x:t xml:space="preserve">8-0</x:t>
  </x:si>
  <x:si>
    <x:t xml:space="preserve">Grammar &amp; Editorial Quality</x:t>
  </x:si>
  <x:si>
    <x:t xml:space="preserve">Grammar, spelling, and punctuation are correct.</x:t>
  </x:si>
  <x:si>
    <x:t xml:space="preserve">Minor isolated language errors are tolerated when meaning is intact; no substantial grammar breakdown observed.</x:t>
  </x:si>
  <x:si>
    <x:t xml:space="preserve">8-1</x:t>
  </x:si>
  <x:si>
    <x:t xml:space="preserve">American English conventions are applied consistently.</x:t>
  </x:si>
  <x:si>
    <x:t xml:space="preserve">Uses US buyer context, inches where relevant, and no consequential British/American mix established.</x:t>
  </x:si>
  <x:si>
    <x:t xml:space="preserve">8-2</x:t>
  </x:si>
  <x:si>
    <x:t xml:space="preserve">Sentences sound natural and professional.</x:t>
  </x:si>
  <x:si>
    <x:t xml:space="preserve">Professional intent and readable examples are clear. Routine conversational language is acceptable.</x:t>
  </x:si>
  <x:si>
    <x:t xml:space="preserve">8-3</x:t>
  </x:si>
  <x:si>
    <x:t xml:space="preserve">Terminology and brand voice remain consistent.</x:t>
  </x:si>
  <x:si>
    <x:t xml:space="preserve">Editorial voice is commercially appropriate; minor stylistic variation is not a failure.</x:t>
  </x:si>
  <x:si>
    <x:t xml:space="preserve">8-4</x:t>
  </x:si>
  <x:si>
    <x:t xml:space="preserve">Filler, awkward phrasing, and unnecessary repetition are minimized.</x:t>
  </x:si>
  <x:si>
    <x:t xml:space="preserve">Small redundancies are acceptable; only materially distracting repetition would be scored.</x:t>
  </x:si>
  <x:si>
    <x:t xml:space="preserve">8-5</x:t>
  </x:si>
  <x:si>
    <x:t xml:space="preserve">Claims avoid exaggerated or unsupported promotional language.</x:t>
  </x:si>
  <x:si>
    <x:t xml:space="preserve">Routine advertising puffery is permitted; objective measurable errors are noted as distinct issues.</x:t>
  </x:si>
  <x:si>
    <x:t xml:space="preserve">The published H1 and body directly address: Magnetic Closure Boxes for Luxury Packaging.</x:t>
  </x:si>
  <x:si>
    <x:t xml:space="preserve">The published title matches the topics delivered: Closure comparison, verified forecast, ten business uses, shipping and material FAQs..</x:t>
  </x:si>
  <x:si>
    <x:t xml:space="preserve">The introduction is relevant: Introduces premium product-presentation rationale without needing an immediate dictionary definition.. Direct-answer placement is not mandatory.</x:t>
  </x:si>
  <x:si>
    <x:t xml:space="preserve">The article provides an answer through: Closure comparison, verified forecast, ten business uses, shipping and material FAQs..</x:t>
  </x:si>
  <x:si>
    <x:t xml:space="preserve">Subsections remain relevant to: Closure comparison, verified forecast, ten business uses, shipping and material FAQs.; ordinary marketing context is acceptable.</x:t>
  </x:si>
  <x:si>
    <x:t xml:space="preserve">Informational/commercial intent addressed by: Gift/display benefits, cost tradeoffs, collapsible shipping/storage use cases..</x:t>
  </x:si>
  <x:si>
    <x:t xml:space="preserve">Major domain terms are explained in: Closure comparison, verified forecast, ten business uses, shipping and material FAQs.; see unique issue records for exceptions.</x:t>
  </x:si>
  <x:si>
    <x:t xml:space="preserve">The principal practical comparisons are present in Magnetic vs traditional comparison (L244–258), fold-flat vs rigid FAQ (L315–317).; source-specific exceptions are separately linked.</x:t>
  </x:si>
  <x:si>
    <x:t xml:space="preserve">Measurable statements evaluated separately from routine promotional language; review cited unique issues and source limits.</x:t>
  </x:si>
  <x:si>
    <x:t xml:space="preserve">Practical domain understanding shown by Magnetic vs traditional comparison (L244–258), fold-flat vs rigid FAQ (L315–317).; see unique issues for limited inaccuracies.</x:t>
  </x:si>
  <x:si>
    <x:t xml:space="preserve">US B2B context: Gift/display benefits, cost tradeoffs, collapsible shipping/storage use cases..</x:t>
  </x:si>
  <x:si>
    <x:t xml:space="preserve">Core relevant entities and subtopics include Closure comparison, verified forecast, ten business uses, shipping and material FAQs..</x:t>
  </x:si>
  <x:si>
    <x:t xml:space="preserve">Explains relevant choices or relationships using Magnetic vs traditional comparison (L244–258), fold-flat vs rigid FAQ (L315–317)..</x:t>
  </x:si>
  <x:si>
    <x:t xml:space="preserve">Headings group Closure comparison, verified forecast, ten business uses, shipping and material FAQs. in an understandable progression.</x:t>
  </x:si>
  <x:si>
    <x:t xml:space="preserve">The body answers its core decision questions through Magnetic vs traditional comparison (L244–258), fold-flat vs rigid FAQ (L315–317)..</x:t>
  </x:si>
  <x:si>
    <x:t xml:space="preserve">Beyond a definition, it includes practical material: Magnetic vs traditional comparison (L244–258), fold-flat vs rigid FAQ (L315–317)..</x:t>
  </x:si>
  <x:si>
    <x:t xml:space="preserve">Examples/applications are present: Magnetic vs traditional comparison (L244–258), fold-flat vs rigid FAQ (L315–317)..</x:t>
  </x:si>
  <x:si>
    <x:t xml:space="preserve">Actionable decision content is present: Gift/display benefits, cost tradeoffs, collapsible shipping/storage use cases..</x:t>
  </x:si>
  <x:si>
    <x:t xml:space="preserve">Comparisons and choice guidance include: Magnetic vs traditional comparison (L244–258), fold-flat vs rigid FAQ (L315–317)..</x:t>
  </x:si>
  <x:si>
    <x:t xml:space="preserve">The introduction is relevant: Introduces premium product-presentation rationale without needing an immediate dictionary definition.. Background is acceptable when it frames the topic.</x:t>
  </x:si>
  <x:si>
    <x:t xml:space="preserve">Headings describe the article’s real sections: Closure comparison, verified forecast, ten business uses, shipping and material FAQs..</x:t>
  </x:si>
  <x:si>
    <x:t xml:space="preserve">The article’s main examples and instructions are understandable: Magnetic vs traditional comparison (L244–258), fold-flat vs rigid FAQ (L315–317)..</x:t>
  </x:si>
  <x:si>
    <x:t xml:space="preserve">The article moves through Closure comparison, verified forecast, ten business uses, shipping and material FAQs. in a logical order. Minor repeated branding is allowed.</x:t>
  </x:si>
  <x:si>
    <x:t xml:space="preserve">Comparisons, examples or steps are available: Magnetic vs traditional comparison (L244–258), fold-flat vs rigid FAQ (L315–317)..</x:t>
  </x:si>
  <x:si>
    <x:t xml:space="preserve">Closing guidance returns to the packaging or purchasing choice: Gift/display benefits, cost tradeoffs, collapsible shipping/storage use cases..</x:t>
  </x:si>
  <x:si>
    <x:t xml:space="preserve">Title/H1 and main topic language naturally match Magnetic Closure Boxes for Luxury Packaging.</x:t>
  </x:si>
  <x:si>
    <x:t xml:space="preserve">Section headings serve navigation rather than apparent keyword repetition: Closure comparison, verified forecast, ten business uses, shipping and material FAQs..</x:t>
  </x:si>
  <x:si>
    <x:t xml:space="preserve">The guide remains centered on the single intended question: Magnetic Closure Boxes for Luxury Packaging.</x:t>
  </x:si>
  <x:si>
    <x:t xml:space="preserve">The business reader is apparent from: Gift/display benefits, cost tradeoffs, collapsible shipping/storage use cases..</x:t>
  </x:si>
  <x:si>
    <x:t xml:space="preserve">Practical procurement and buyer needs covered: Gift/display benefits, cost tradeoffs, collapsible shipping/storage use cases..</x:t>
  </x:si>
  <x:si>
    <x:t xml:space="preserve">Where relevant, product/quantity/material choices appear in Closure comparison, verified forecast, ten business uses, shipping and material FAQs.; exceptions separately identified.</x:t>
  </x:si>
  <x:si>
    <x:t xml:space="preserve">The published H1 and body directly address: Mylar Bag Closure Styles and Sealing Methods.</x:t>
  </x:si>
  <x:si>
    <x:t xml:space="preserve">The published title matches the topics delivered: Zipper/slider/child-resistant/tin-tie/spout; impulse/band/vacuum equipment; product matrix..</x:t>
  </x:si>
  <x:si>
    <x:t xml:space="preserve">The introduction is relevant: Defines the closure vs heat seal distinction before exploring methods.. Direct-answer placement is not mandatory.</x:t>
  </x:si>
  <x:si>
    <x:t xml:space="preserve">The article provides an answer through: Zipper/slider/child-resistant/tin-tie/spout; impulse/band/vacuum equipment; product matrix..</x:t>
  </x:si>
  <x:si>
    <x:t xml:space="preserve">Subsections remain relevant to: Zipper/slider/child-resistant/tin-tie/spout; impulse/band/vacuum equipment; product matrix.; ordinary marketing context is acceptable.</x:t>
  </x:si>
  <x:si>
    <x:t xml:space="preserve">Informational/commercial intent addressed by: Product, use frequency, and closure/seal choice explained; food/supplement claims need verification..</x:t>
  </x:si>
  <x:si>
    <x:t xml:space="preserve">MY-B03-02: Heat seals described as completely excluding oxygen — The heat seal closes the mouth but oxygen performance also depends on residual headspace, film oxygen transmission and seal integrity. A package can be heat sealed yet retain oxygen. / MY-B03-03: Vacuum packing confused with oxygen removal and complete safety — Vacuum equipment removes air, not necessarily all oxygen, and vacuum packaging alone does not establish food safety. Oxygen absorbers are a distinct technique.</x:t>
  </x:si>
  <x:si>
    <x:t xml:space="preserve">MY-B03-02, MY-B03-03</x:t>
  </x:si>
  <x:si>
    <x:t xml:space="preserve">L309–314; L268–274; L285–287; L318–320 · https://print247.us/post/complete-guide-to-mylar-bag-closure-styles-and-sealing-methods</x:t>
  </x:si>
  <x:si>
    <x:t xml:space="preserve">MY-B03-04: Regulated child-resistant application needs approval condition — Child-resistant performance is product- and jurisdiction-specific; not every zipper styled as resistant satisfies applicable testing or product-packaging rules. This needs a concise qualification, not a claim that the article violates law.</x:t>
  </x:si>
  <x:si>
    <x:t xml:space="preserve">L255–258 · https://print247.us/post/complete-guide-to-mylar-bag-closure-styles-and-sealing-methods</x:t>
  </x:si>
  <x:si>
    <x:t xml:space="preserve">Core relevant entities and subtopics include Zipper/slider/child-resistant/tin-tie/spout; impulse/band/vacuum equipment; product matrix..</x:t>
  </x:si>
  <x:si>
    <x:t xml:space="preserve">Explains relevant choices or relationships using Application table (L290–299); sealing-process overview (L268–287)..</x:t>
  </x:si>
  <x:si>
    <x:t xml:space="preserve">Headings group Zipper/slider/child-resistant/tin-tie/spout; impulse/band/vacuum equipment; product matrix. in an understandable progression.</x:t>
  </x:si>
  <x:si>
    <x:t xml:space="preserve">The body answers its core decision questions through Application table (L290–299); sealing-process overview (L268–287)..</x:t>
  </x:si>
  <x:si>
    <x:t xml:space="preserve">Beyond a definition, it includes practical material: Application table (L290–299); sealing-process overview (L268–287)..</x:t>
  </x:si>
  <x:si>
    <x:t xml:space="preserve">Examples/applications are present: Application table (L290–299); sealing-process overview (L268–287)..</x:t>
  </x:si>
  <x:si>
    <x:t xml:space="preserve">MY-B03-02: Heat seals described as completely excluding oxygen — The heat seal closes the mouth but oxygen performance also depends on residual headspace, film oxygen transmission and seal integrity. A package can be heat sealed yet retain oxygen.</x:t>
  </x:si>
  <x:si>
    <x:t xml:space="preserve">L309–314; L268–274 · https://print247.us/post/complete-guide-to-mylar-bag-closure-styles-and-sealing-methods</x:t>
  </x:si>
  <x:si>
    <x:t xml:space="preserve">Comparisons and choice guidance include: Application table (L290–299); sealing-process overview (L268–287)..</x:t>
  </x:si>
  <x:si>
    <x:t xml:space="preserve">Buyer usefulness is supported by Product, use frequency, and closure/seal choice explained; food/supplement claims need verification.; narrower actionable deficiencies are issue-linked.</x:t>
  </x:si>
  <x:si>
    <x:t xml:space="preserve">The introduction is relevant: Defines the closure vs heat seal distinction before exploring methods.. Background is acceptable when it frames the topic.</x:t>
  </x:si>
  <x:si>
    <x:t xml:space="preserve">Headings describe the article’s real sections: Zipper/slider/child-resistant/tin-tie/spout; impulse/band/vacuum equipment; product matrix..</x:t>
  </x:si>
  <x:si>
    <x:t xml:space="preserve">The article’s main examples and instructions are understandable: Application table (L290–299); sealing-process overview (L268–287)..</x:t>
  </x:si>
  <x:si>
    <x:t xml:space="preserve">The article moves through Zipper/slider/child-resistant/tin-tie/spout; impulse/band/vacuum equipment; product matrix. in a logical order. Minor repeated branding is allowed.</x:t>
  </x:si>
  <x:si>
    <x:t xml:space="preserve">Comparisons, examples or steps are available: Application table (L290–299); sealing-process overview (L268–287)..</x:t>
  </x:si>
  <x:si>
    <x:t xml:space="preserve">Closing guidance returns to the packaging or purchasing choice: Product, use frequency, and closure/seal choice explained; food/supplement claims need verification..</x:t>
  </x:si>
  <x:si>
    <x:t xml:space="preserve">Title/H1 and main topic language naturally match Mylar Bag Closure Styles and Sealing Methods.</x:t>
  </x:si>
  <x:si>
    <x:t xml:space="preserve">Section headings serve navigation rather than apparent keyword repetition: Zipper/slider/child-resistant/tin-tie/spout; impulse/band/vacuum equipment; product matrix..</x:t>
  </x:si>
  <x:si>
    <x:t xml:space="preserve">The guide remains centered on the single intended question: Mylar Bag Closure Styles and Sealing Methods.</x:t>
  </x:si>
  <x:si>
    <x:t xml:space="preserve">The business reader is apparent from: Product, use frequency, and closure/seal choice explained; food/supplement claims need verification..</x:t>
  </x:si>
  <x:si>
    <x:t xml:space="preserve">Practical procurement and buyer needs covered: Product, use frequency, and closure/seal choice explained; food/supplement claims need verification..</x:t>
  </x:si>
  <x:si>
    <x:t xml:space="preserve">MY-B03-03: Vacuum packing confused with oxygen removal and complete safety — Vacuum equipment removes air, not necessarily all oxygen, and vacuum packaging alone does not establish food safety. Oxygen absorbers are a distinct technique.</x:t>
  </x:si>
  <x:si>
    <x:t xml:space="preserve">L285–287; L318–320 · https://print247.us/post/complete-guide-to-mylar-bag-closure-styles-and-sealing-methods</x:t>
  </x:si>
  <x:si>
    <x:t xml:space="preserve">Maryam · Verified Article Strengths</x:t>
  </x:si>
  <x:si>
    <x:t xml:space="preserve">Article-specific positives; source URLs and referenced sections support these observations.</x:t>
  </x:si>
  <x:si>
    <x:t xml:space="preserve">Article title</x:t>
  </x:si>
  <x:si>
    <x:t xml:space="preserve">Positive observation</x:t>
  </x:si>
  <x:si>
    <x:t xml:space="preserve">Two practical comparison tables separate up-front cost from total purchasing considerations.</x:t>
  </x:si>
  <x:si>
    <x:t xml:space="preserve">Explains when stock boxes remain suitable for test launches and low volumes.</x:t>
  </x:si>
  <x:si>
    <x:t xml:space="preserve">Offers a useful hybrid strategy: plain stock boxes plus custom labels.</x:t>
  </x:si>
  <x:si>
    <x:t xml:space="preserve">Explains sensory opening experience, reusability, and premium-product positioning clearly.</x:t>
  </x:si>
  <x:si>
    <x:t xml:space="preserve">Distinguishes fold-flat magnetic constructions from assembled rigid versions.</x:t>
  </x:si>
  <x:si>
    <x:t xml:space="preserve">Its market size and CAGR are backed by the industry report it cites.</x:t>
  </x:si>
  <x:si>
    <x:t xml:space="preserve">Clearly explains why a resealable zipper and an initial heat seal serve different purposes.</x:t>
  </x:si>
  <x:si>
    <x:t xml:space="preserve">Includes a useful product-by-closure matrix for snacks, coffee, powders, liquids and pet treats.</x:t>
  </x:si>
  <x:si>
    <x:t xml:space="preserve">Explains impulse and continuous-band sealing machinery at a practical level.</x:t>
  </x:si>
  <x:si>
    <x:t xml:space="preserve">Maryam · Personalized SEO Improvement Guide</x:t>
  </x:si>
  <x:si>
    <x:t xml:space="preserve">Current balanced content evaluation methodology</x:t>
  </x:si>
  <x:si>
    <x:t xml:space="preserve">Evidence first. Outcomes matter. Stylistic choices are not ranking requirements.</x:t>
  </x:si>
  <x:si>
    <x:t xml:space="preserve">Classification</x:t>
  </x:si>
  <x:si>
    <x:t xml:space="preserve">Interpretation</x:t>
  </x:si>
  <x:si>
    <x:t xml:space="preserve">Automatic penalty?</x:t>
  </x:si>
  <x:si>
    <x:t xml:space="preserve">Publication implication</x:t>
  </x:si>
  <x:si>
    <x:t xml:space="preserve">Evidence standard</x:t>
  </x:si>
  <x:si>
    <x:t xml:space="preserve">Satisfies the article-specific requirement</x:t>
  </x:si>
  <x:si>
    <x:t xml:space="preserve">No</x:t>
  </x:si>
  <x:si>
    <x:t xml:space="preserve">Keep</x:t>
  </x:si>
  <x:si>
    <x:t xml:space="preserve">Relevant published text</x:t>
  </x:si>
  <x:si>
    <x:t xml:space="preserve">Legitimate alternate editorial approach</x:t>
  </x:si>
  <x:si>
    <x:t xml:space="preserve">Keep or optional refinement</x:t>
  </x:si>
  <x:si>
    <x:t xml:space="preserve">No arbitrary answer-first/location mandate</x:t>
  </x:si>
  <x:si>
    <x:t xml:space="preserve">Meaningful, noncritical limitation</x:t>
  </x:si>
  <x:si>
    <x:t xml:space="preserve">Proportionate within dimension</x:t>
  </x:si>
  <x:si>
    <x:t xml:space="preserve">Schedule an improvement</x:t>
  </x:si>
  <x:si>
    <x:t xml:space="preserve">Quote or documented missing decision element</x:t>
  </x:si>
  <x:si>
    <x:t xml:space="preserve">Verified material technical or factual error, or serious deficiency. Absolute wording alone is not an automatic FAIL; apply approved safeguards.</x:t>
  </x:si>
  <x:si>
    <x:t xml:space="preserve">Meaningful holistic impact; do NOT multiply across checklist</x:t>
  </x:si>
  <x:si>
    <x:t xml:space="preserve">Correct or formally substantiate before release</x:t>
  </x:si>
  <x:si>
    <x:t xml:space="preserve">Exact source text + reason</x:t>
  </x:si>
  <x:si>
    <x:t xml:space="preserve">N/A</x:t>
  </x:si>
  <x:si>
    <x:t xml:space="preserve">Not relevant to this article</x:t>
  </x:si>
  <x:si>
    <x:t xml:space="preserve">No / excluded</x:t>
  </x:si>
  <x:si>
    <x:t xml:space="preserve">None</x:t>
  </x:si>
  <x:si>
    <x:t xml:space="preserve">Reason applicability does not exist</x:t>
  </x:si>
  <x:si>
    <x:t xml:space="preserve">Independent evidence unavailable</x:t>
  </x:si>
  <x:si>
    <x:t xml:space="preserve">No / excluded pending test</x:t>
  </x:si>
  <x:si>
    <x:t xml:space="preserve">Test only when decision-critical</x:t>
  </x:si>
  <x:si>
    <x:t xml:space="preserve">Explicitly state missing verification</x:t>
  </x:si>
  <x:si>
    <x:t xml:space="preserve">Weight</x:t>
  </x:si>
  <x:si>
    <x:t xml:space="preserve">Scoring formula</x:t>
  </x:si>
  <x:si>
    <x:t xml:space="preserve">What determines rating</x:t>
  </x:si>
  <x:si>
    <x:t xml:space="preserve">SEO policy relation</x:t>
  </x:si>
  <x:si>
    <x:t xml:space="preserve">Weight × (holistic rating ÷ 5)</x:t>
  </x:si>
  <x:si>
    <x:t xml:space="preserve">0–5, 0.5 increments; no pass-count conversion</x:t>
  </x:si>
  <x:si>
    <x:t xml:space="preserve">Google favors helpful, reliable, relevant writing, not fixed intro lengths</x:t>
  </x:si>
  <x:si>
    <x:t xml:space="preserve">SOURCES &amp; VERIFICATION LIMITS</x:t>
  </x:si>
  <x:si>
    <x:t xml:space="preserve">Google Search Central helpful content</x:t>
  </x:si>
  <x:si>
    <x:t xml:space="preserve">https://developers.google.com/search/docs/fundamentals/creating-helpful-content</x:t>
  </x:si>
  <x:si>
    <x:t xml:space="preserve">Google SEO Starter Guide</x:t>
  </x:si>
  <x:si>
    <x:t xml:space="preserve">https://developers.google.com/search/docs/fundamentals/seo-starter-guide</x:t>
  </x:si>
  <x:si>
    <x:t xml:space="preserve">PSA on baseball-card sizing</x:t>
  </x:si>
  <x:si>
    <x:t xml:space="preserve">https://www.psacard.com/articles/articleview/5424/psa-set-registry-1957-topps-baseball-cards-setting-standard</x:t>
  </x:si>
  <x:si>
    <x:t xml:space="preserve">FTC environmental marketing guidance</x:t>
  </x:si>
  <x:si>
    <x:t xml:space="preserve">https://www.ftc.gov/business-guidance/resources/environmental-claims-summary-green-guides</x:t>
  </x:si>
  <x:si>
    <x:t xml:space="preserve">Manufacturer-specific print / adhesive specifications</x:t>
  </x:si>
  <x:si>
    <x:t xml:space="preserve">Verify directly with Print247 / supplier before presenting measurable guarantees</x:t>
  </x:si>
  <x:si>
    <x:t xml:space="preserve">Maryam: 156 diagnostic assessments across 3 articles. Live text checked; HTTP tests, plagiarism and genuine webpage screenshot capture not completed.</x:t>
  </x:si>
  <x:si>
    <x:t xml:space="preserve">ISSUE</x:t>
  </x:si>
  <x:si>
    <x:t xml:space="preserve">ARTICLE</x:t>
  </x:si>
  <x:si>
    <x:t xml:space="preserve">EDITORIAL VERDICT</x:t>
  </x:si>
  <x:si>
    <x:t xml:space="preserve">BUSINESS ACTION</x:t>
  </x:si>
  <x:si>
    <x:t xml:space="preserve">RATIONALE</x:t>
  </x:si>
  <x:si>
    <x:t xml:space="preserve">REFERENCE</x:t>
  </x:si>
  <x:si>
    <x:t xml:space="preserve">GENERAL-01</x:t>
  </x:si>
  <x:si>
    <x:t xml:space="preserve">All articles</x:t>
  </x:si>
  <x:si>
    <x:t xml:space="preserve">Relevant introductions are not penalized</x:t>
  </x:si>
  <x:si>
    <x:t xml:space="preserve">Relevant contextual paragraphs may precede definitions or direct answers; no mandated answer-first position.</x:t>
  </x:si>
  <x:si>
    <x:t xml:space="preserve">GENERAL-02</x:t>
  </x:si>
  <x:si>
    <x:t xml:space="preserve">Routine B2B promotional positioning is allowed</x:t>
  </x:si>
  <x:si>
    <x:t xml:space="preserve">Best known, premium quality and ensure timely delivery are normal marketing claims absent a material misleading context.</x:t>
  </x:si>
  <x:si>
    <x:t xml:space="preserve">https://www.ftc.gov/business-guidance/advertising-marketing</x:t>
  </x:si>
  <x:si>
    <x:t xml:space="preserve">GENERAL-03</x:t>
  </x:si>
  <x:si>
    <x:t xml:space="preserve">No grammar or heading nitpicks</x:t>
  </x:si>
  <x:si>
    <x:t xml:space="preserve">Minor spelling, punctuation, heading alternatives and acceptable background receive no independent penalty.</x:t>
  </x:si>
  <x:si>
    <x:t xml:space="preserve">GENERAL-04</x:t>
  </x:si>
  <x:si>
    <x:t xml:space="preserve">ACCEPTABLE / VERIFY</x:t>
  </x:si>
  <x:si>
    <x:t xml:space="preserve">Review objectively measurable guarantees</x:t>
  </x:si>
  <x:si>
    <x:t xml:space="preserve">Exact zero-defect production, 100% material performance and perfect every-unit claims need supplier substantiation; not automatic writer failures.</x:t>
  </x:si>
  <x:si>
    <x:t xml:space="preserve">https://www.ftc.gov/business-guidance/resources/advertising-faqs-guide-small-business</x:t>
  </x:si>
  <x:si>
    <x:t xml:space="preserve">GENERAL-05</x:t>
  </x:si>
  <x:si>
    <x:t xml:space="preserve">Do not infer writing AI usage or plagiarism</x:t>
  </x:si>
  <x:si>
    <x:t xml:space="preserve">Neither AI authorship nor plagiarism is determined from text alone; out of official scoring.</x:t>
  </x:si>
</x:sst>
</file>

<file path=xl/styles.xml><?xml version="1.0" encoding="utf-8"?>
<x:styleSheet xmlns:x="http://schemas.openxmlformats.org/spreadsheetml/2006/main">
  <x:numFmts count="1">
    <x:numFmt numFmtId="164" formatCode="0.0"/>
  </x:numFmts>
  <x:fonts count="11">
    <x:font>
      <x:sz val="11"/>
      <x:name val="Carlito"/>
    </x:font>
    <x:font>
      <x:b/>
      <x:sz val="17"/>
      <x:color rgb="FFFFFFFF"/>
      <x:name val="Carlito"/>
    </x:font>
    <x:font>
      <x:i/>
      <x:sz val="10"/>
      <x:color rgb="FF66758A"/>
      <x:name val="Carlito"/>
    </x:font>
    <x:font>
      <x:b/>
      <x:sz val="10"/>
      <x:color rgb="FFFFFFFF"/>
      <x:name val="Carlito"/>
    </x:font>
    <x:font>
      <x:sz val="11"/>
      <x:color rgb="FF66758A"/>
      <x:name val="Carlito"/>
    </x:font>
    <x:font>
      <x:b/>
      <x:sz val="11"/>
      <x:color rgb="FF14253E"/>
      <x:name val="Carlito"/>
    </x:font>
    <x:font>
      <x:b/>
      <x:sz val="14"/>
      <x:color rgb="FF0E7490"/>
      <x:name val="Carlito"/>
    </x:font>
    <x:font>
      <x:i/>
      <x:sz val="11"/>
      <x:color rgb="FF66758A"/>
      <x:name val="Carlito"/>
    </x:font>
    <x:font>
      <x:b/>
      <x:sz val="11"/>
      <x:color rgb="FF9C0006"/>
      <x:name val="Carlito"/>
    </x:font>
    <x:font>
      <x:sz val="11"/>
      <x:color rgb="FF193149"/>
      <x:name val="Carlito"/>
    </x:font>
    <x:font>
      <x:b/>
      <x:sz val="11"/>
      <x:color rgb="FF193149"/>
      <x:name val="Carlito"/>
    </x:font>
  </x:fonts>
  <x:fills count="8">
    <x:fill>
      <x:patternFill patternType="none"/>
    </x:fill>
    <x:fill>
      <x:patternFill patternType="gray125"/>
    </x:fill>
    <x:fill>
      <x:patternFill patternType="solid">
        <x:fgColor rgb="FF14253E"/>
      </x:patternFill>
    </x:fill>
    <x:fill>
      <x:patternFill patternType="solid">
        <x:fgColor rgb="FFEDF4F8"/>
      </x:patternFill>
    </x:fill>
    <x:fill>
      <x:patternFill patternType="solid">
        <x:fgColor rgb="FFFCE8E6"/>
      </x:patternFill>
    </x:fill>
    <x:fill>
      <x:patternFill patternType="solid">
        <x:fgColor rgb="FF193149"/>
      </x:patternFill>
    </x:fill>
    <x:fill>
      <x:patternFill patternType="solid">
        <x:fgColor rgb="FFECF5F6"/>
      </x:patternFill>
    </x:fill>
    <x:fill>
      <x:patternFill patternType="solid">
        <x:fgColor rgb="FFE6F2F1"/>
      </x:patternFill>
    </x:fill>
  </x:fills>
  <x:borders count="2">
    <x:border/>
    <x:border/>
  </x:borders>
  <x:cellStyleXfs count="1">
    <x:xf numFmtId="0" fontId="0" fillId="0" borderId="0"/>
  </x:cellStyleXfs>
  <x:cellXfs count="53">
    <x:xf numFmtId="0" fontId="0" fillId="0" borderId="0" xfId="0"/>
    <x:xf numFmtId="0" fontId="3" fillId="2" borderId="0" xfId="0" applyFont="1" applyFill="1" applyAlignment="1">
      <x:alignment vertical="center" wrapText="1"/>
    </x:xf>
    <x:xf numFmtId="0" fontId="0" fillId="0" borderId="0" xfId="0" applyAlignment="1">
      <x:alignment wrapText="1"/>
    </x:xf>
    <x:xf numFmtId="164" fontId="0" fillId="0" borderId="0" xfId="0" applyNumberFormat="1" applyAlignment="1">
      <x:alignment wrapText="1"/>
    </x:xf>
    <x:xf numFmtId="0" fontId="5" fillId="3" borderId="0" xfId="0" applyFont="1" applyFill="1"/>
    <x:xf numFmtId="0" fontId="6" fillId="0" borderId="0" xfId="0" applyFont="1"/>
    <x:xf numFmtId="164" fontId="6" fillId="0" borderId="0" xfId="0" applyNumberFormat="1" applyFont="1"/>
    <x:xf numFmtId="0" fontId="0" fillId="0" borderId="0" xfId="0" applyAlignment="1">
      <x:alignment vertical="center" wrapText="1"/>
    </x:xf>
    <x:xf numFmtId="0" fontId="8" fillId="4" borderId="0" xfId="0" applyFont="1" applyFill="1" applyAlignment="1">
      <x:alignment vertical="center" wrapText="1"/>
    </x:xf>
    <x:xf numFmtId="0" fontId="1" fillId="2" borderId="0" xfId="0" applyFont="1" applyFill="1"/>
    <x:xf numFmtId="0" fontId="4" fillId="0" borderId="0" xfId="0" applyFont="1"/>
    <x:xf numFmtId="0" fontId="5" fillId="3" borderId="0" xfId="0" applyFont="1" applyFill="1"/>
    <x:xf numFmtId="0" fontId="7" fillId="0" borderId="0" xfId="0" applyFont="1" applyAlignment="1">
      <x:alignment wrapText="1"/>
    </x:xf>
    <x:xf numFmtId="0" fontId="2" fillId="0" borderId="0" xfId="0" applyFont="1" applyAlignment="1">
      <x:alignment wrapText="1"/>
    </x:xf>
    <x:xf numFmtId="0" fontId="5" fillId="0" borderId="0" xfId="0" applyFont="1"/>
    <x:xf numFmtId="0" fontId="3" fillId="2" borderId="0" xfId="0" applyFont="1" applyFill="1" applyAlignment="1">
      <x:alignment vertical="center" wrapText="1"/>
    </x:xf>
    <x:xf numFmtId="0" fontId="0" fillId="0" borderId="0" xfId="0" applyAlignment="1">
      <x:alignment vertical="center" wrapText="1"/>
    </x:xf>
    <x:xf numFmtId="0" fontId="0" fillId="0" borderId="0" xfId="0" applyAlignment="1">
      <x:alignment wrapText="1"/>
    </x:xf>
    <x:xf numFmtId="0" fontId="0" fillId="0" borderId="1" xfId="0" applyNumberFormat="1" applyFont="1" applyFill="1" applyBorder="1"/>
    <x:xf numFmtId="0" fontId="3" fillId="2" borderId="1" xfId="0" applyNumberFormat="1" applyFont="1" applyFill="1" applyBorder="1" applyAlignment="1">
      <x:alignment vertical="center" wrapText="1"/>
    </x:xf>
    <x:xf numFmtId="0" fontId="0" fillId="0" borderId="1" xfId="0" applyNumberFormat="1" applyFont="1" applyFill="1" applyBorder="1" applyAlignment="1">
      <x:alignment wrapText="1"/>
    </x:xf>
    <x:xf numFmtId="164" fontId="0" fillId="0" borderId="1" xfId="0" applyNumberFormat="1" applyFont="1" applyFill="1" applyBorder="1" applyAlignment="1">
      <x:alignment wrapText="1"/>
    </x:xf>
    <x:xf numFmtId="0" fontId="5" fillId="3" borderId="1" xfId="0" applyNumberFormat="1" applyFont="1" applyFill="1" applyBorder="1"/>
    <x:xf numFmtId="0" fontId="6" fillId="0" borderId="1" xfId="0" applyNumberFormat="1" applyFont="1" applyFill="1" applyBorder="1"/>
    <x:xf numFmtId="164" fontId="6" fillId="0" borderId="1" xfId="0" applyNumberFormat="1" applyFont="1" applyFill="1" applyBorder="1"/>
    <x:xf numFmtId="0" fontId="0" fillId="0" borderId="1" xfId="0" applyNumberFormat="1" applyFont="1" applyFill="1" applyBorder="1" applyAlignment="1">
      <x:alignment vertical="center" wrapText="1"/>
    </x:xf>
    <x:xf numFmtId="0" fontId="8" fillId="4" borderId="1" xfId="0" applyNumberFormat="1" applyFont="1" applyFill="1" applyBorder="1" applyAlignment="1">
      <x:alignment vertical="center" wrapText="1"/>
    </x:xf>
    <x:xf numFmtId="0" fontId="1" fillId="2" borderId="1" xfId="0" applyNumberFormat="1" applyFont="1" applyFill="1" applyBorder="1"/>
    <x:xf numFmtId="0" fontId="4" fillId="0" borderId="1" xfId="0" applyNumberFormat="1" applyFont="1" applyFill="1" applyBorder="1"/>
    <x:xf numFmtId="0" fontId="7" fillId="0" borderId="1" xfId="0" applyNumberFormat="1" applyFont="1" applyFill="1" applyBorder="1" applyAlignment="1">
      <x:alignment wrapText="1"/>
    </x:xf>
    <x:xf numFmtId="0" fontId="2" fillId="0" borderId="1" xfId="0" applyNumberFormat="1" applyFont="1" applyFill="1" applyBorder="1" applyAlignment="1">
      <x:alignment wrapText="1"/>
    </x:xf>
    <x:xf numFmtId="0" fontId="5" fillId="0" borderId="1" xfId="0" applyNumberFormat="1" applyFont="1" applyFill="1" applyBorder="1"/>
    <x:xf numFmtId="0" fontId="3" fillId="2" borderId="0" xfId="0" applyNumberFormat="1" applyFont="1" applyFill="1" applyBorder="1" applyAlignment="1">
      <x:alignment vertical="center" wrapText="1"/>
    </x:xf>
    <x:xf numFmtId="0" fontId="0" fillId="0" borderId="0" xfId="0" applyNumberFormat="1" applyFont="1" applyFill="1" applyBorder="1" applyAlignment="1">
      <x:alignment vertical="center" wrapText="1"/>
    </x:xf>
    <x:xf numFmtId="0" fontId="0" fillId="0" borderId="0" xfId="0" applyNumberFormat="1" applyFont="1" applyFill="1" applyBorder="1"/>
    <x:xf numFmtId="0" fontId="0" fillId="0" borderId="0" xfId="0" applyNumberFormat="1" applyFont="1" applyFill="1" applyBorder="1" applyAlignment="1">
      <x:alignment wrapText="1"/>
    </x:xf>
    <x:xf numFmtId="164" fontId="0" fillId="0" borderId="0" xfId="0" applyNumberFormat="1" applyFont="1" applyFill="1" applyBorder="1" applyAlignment="1">
      <x:alignment wrapText="1"/>
    </x:xf>
    <x:xf numFmtId="0" fontId="5" fillId="3" borderId="0" xfId="0" applyNumberFormat="1" applyFont="1" applyFill="1" applyBorder="1"/>
    <x:xf numFmtId="0" fontId="6" fillId="0" borderId="0" xfId="0" applyNumberFormat="1" applyFont="1" applyFill="1" applyBorder="1"/>
    <x:xf numFmtId="164" fontId="6" fillId="0" borderId="0" xfId="0" applyNumberFormat="1" applyFont="1" applyFill="1" applyBorder="1"/>
    <x:xf numFmtId="0" fontId="8" fillId="4" borderId="0" xfId="0" applyNumberFormat="1" applyFont="1" applyFill="1" applyBorder="1" applyAlignment="1">
      <x:alignment vertical="center" wrapText="1"/>
    </x:xf>
    <x:xf numFmtId="0" fontId="1" fillId="2" borderId="0" xfId="0" applyNumberFormat="1" applyFont="1" applyFill="1" applyBorder="1"/>
    <x:xf numFmtId="0" fontId="4" fillId="0" borderId="0" xfId="0" applyNumberFormat="1" applyFont="1" applyFill="1" applyBorder="1"/>
    <x:xf numFmtId="0" fontId="7" fillId="0" borderId="0" xfId="0" applyNumberFormat="1" applyFont="1" applyFill="1" applyBorder="1" applyAlignment="1">
      <x:alignment wrapText="1"/>
    </x:xf>
    <x:xf numFmtId="0" fontId="2" fillId="0" borderId="0" xfId="0" applyNumberFormat="1" applyFont="1" applyFill="1" applyBorder="1" applyAlignment="1">
      <x:alignment wrapText="1"/>
    </x:xf>
    <x:xf numFmtId="0" fontId="5" fillId="0" borderId="0" xfId="0" applyNumberFormat="1" applyFont="1" applyFill="1" applyBorder="1"/>
    <x:xf numFmtId="0" fontId="1" fillId="5" borderId="0" xfId="0" applyNumberFormat="1" applyFont="1" applyFill="1" applyBorder="1"/>
    <x:xf numFmtId="0" fontId="4" fillId="6" borderId="0" xfId="0" applyNumberFormat="1" applyFont="1" applyFill="1" applyBorder="1"/>
    <x:xf numFmtId="0" fontId="9" fillId="6" borderId="0" xfId="0" applyNumberFormat="1" applyFont="1" applyFill="1" applyBorder="1"/>
    <x:xf numFmtId="0" fontId="8" fillId="7" borderId="0" xfId="0" applyNumberFormat="1" applyFont="1" applyFill="1" applyBorder="1" applyAlignment="1">
      <x:alignment vertical="center" wrapText="1"/>
    </x:xf>
    <x:xf numFmtId="0" fontId="0" fillId="7" borderId="0" xfId="0" applyNumberFormat="1" applyFont="1" applyFill="1" applyBorder="1" applyAlignment="1">
      <x:alignment vertical="center" wrapText="1"/>
    </x:xf>
    <x:xf numFmtId="0" fontId="10" fillId="7" borderId="0" xfId="0" applyNumberFormat="1" applyFont="1" applyFill="1" applyBorder="1" applyAlignment="1">
      <x:alignment vertical="center" wrapText="1"/>
    </x:xf>
    <x:xf numFmtId="0" fontId="9" fillId="7" borderId="0" xfId="0" applyNumberFormat="1" applyFont="1" applyFill="1" applyBorder="1" applyAlignment="1">
      <x:alignment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6070c7a9624f4621" /><Relationship Type="http://schemas.openxmlformats.org/officeDocument/2006/relationships/theme" Target="/xl/theme/theme1.xml" Id="R1a373ed361874487" /><Relationship Type="http://schemas.openxmlformats.org/officeDocument/2006/relationships/sharedStrings" Target="/xl/sharedStrings.xml" Id="Re94a4e14b5184091" /><Relationship Type="http://schemas.openxmlformats.org/officeDocument/2006/relationships/worksheet" Target="/xl/worksheets/sheet1.xml" Id="R9861dba0296d45f6" /><Relationship Type="http://schemas.openxmlformats.org/officeDocument/2006/relationships/worksheet" Target="/xl/worksheets/sheet2.xml" Id="Rb7a2bed20dfb453c" /><Relationship Type="http://schemas.openxmlformats.org/officeDocument/2006/relationships/worksheet" Target="/xl/worksheets/sheet3.xml" Id="Rd33107332ce34329" /><Relationship Type="http://schemas.openxmlformats.org/officeDocument/2006/relationships/worksheet" Target="/xl/worksheets/sheet4.xml" Id="Ree2f2d22e1444f59" /><Relationship Type="http://schemas.openxmlformats.org/officeDocument/2006/relationships/worksheet" Target="/xl/worksheets/sheet5.xml" Id="R50bda75a6bc04dbf" /><Relationship Type="http://schemas.openxmlformats.org/officeDocument/2006/relationships/worksheet" Target="/xl/worksheets/sheet6.xml" Id="R3ded3ee003bc4225" /><Relationship Type="http://schemas.openxmlformats.org/officeDocument/2006/relationships/worksheet" Target="/xl/worksheets/sheet7.xml" Id="R2c4cc72c76c2499e" /><Relationship Type="http://schemas.openxmlformats.org/officeDocument/2006/relationships/worksheet" Target="/xl/worksheets/sheet8.xml" Id="Rf834b8368d8a426e" /><Relationship Type="http://schemas.openxmlformats.org/officeDocument/2006/relationships/worksheet" Target="/xl/worksheets/sheet9.xml" Id="Rd4cac63e86a64cce"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3.800000190734863"/>
  <x:cols>
    <x:col min="1" max="1" width="59" customWidth="1"/>
    <x:col min="2" max="2" width="20" customWidth="1"/>
    <x:col min="3" max="4" width="18" customWidth="1"/>
    <x:col min="5" max="5" width="55" customWidth="1"/>
    <x:col min="6" max="6" width="19" customWidth="1"/>
    <x:col min="7" max="8" width="21" customWidth="1"/>
  </x:cols>
  <x:sheetData>
    <x:row r="1" ht="30" customHeight="1">
      <x:c r="A1" s="46" t="s">
        <x:v>0</x:v>
      </x:c>
      <x:c r="B1" s="46"/>
      <x:c r="C1" s="46"/>
      <x:c r="D1" s="46"/>
      <x:c r="E1" s="46"/>
      <x:c r="F1" s="9"/>
      <x:c r="G1" s="9"/>
      <x:c r="H1" s="9"/>
    </x:row>
    <x:row r="3" ht="28" customHeight="1">
      <x:c r="A3" s="48" t="str">
        <x:v>Management overview  ·  Current balanced SEO review  ·  3 articles  ·  Finalized findings and ratings</x:v>
      </x:c>
      <x:c r="B3" s="48"/>
      <x:c r="C3" s="48"/>
      <x:c r="D3" s="48"/>
      <x:c r="E3" s="48"/>
      <x:c r="F3" s="10"/>
      <x:c r="G3" s="10"/>
      <x:c r="H3" s="10"/>
    </x:row>
    <x:row r="5" ht="16.649999618530273" customHeight="1">
      <x:c r="A5" s="4" t="s">
        <x:v>1</x:v>
      </x:c>
      <x:c r="B5" s="6" t="n">
        <x:f>ROUND(AVERAGE('Article Scores'!$D$6:$D$8),1)</x:f>
        <x:v>82.8</x:v>
      </x:c>
    </x:row>
    <x:row r="6" ht="16.649999618530273" customHeight="1">
      <x:c r="A6" s="4" t="s">
        <x:v>2</x:v>
      </x:c>
      <x:c r="B6" s="5">
        <x:v>3</x:v>
      </x:c>
    </x:row>
    <x:row r="7" ht="16.649999618530273" customHeight="1">
      <x:c r="A7" s="4" t="s">
        <x:v>3</x:v>
      </x:c>
      <x:c r="B7" s="5">
        <x:v>70</x:v>
      </x:c>
    </x:row>
    <x:row r="8" ht="16.649999618530273" customHeight="1">
      <x:c r="A8" s="4" t="s">
        <x:v>4</x:v>
      </x:c>
      <x:c r="B8" s="5" t="n">
        <x:f>COUNTA(Issues!$A$6:$A$10)</x:f>
        <x:v>5</x:v>
      </x:c>
    </x:row>
    <x:row r="9" ht="16.649999618530273" customHeight="1">
      <x:c r="A9" s="4" t="s">
        <x:v>5</x:v>
      </x:c>
      <x:c r="B9" s="5" t="n">
        <x:f>COUNTIF(Issues!$C$6:$C$10,"FAIL")</x:f>
        <x:v>2</x:v>
      </x:c>
    </x:row>
    <x:row r="10" ht="16.649999618530273" customHeight="1">
      <x:c r="A10" s="4" t="s">
        <x:v>6</x:v>
      </x:c>
      <x:c r="B10" s="5" t="n">
        <x:f>COUNTIF(Issues!$C$6:$C$10,"NEEDS IMPROVEMENT")</x:f>
        <x:v>3</x:v>
      </x:c>
    </x:row>
    <x:row r="12" ht="20.549999237060547" customHeight="1">
      <x:c r="A12" s="1" t="s">
        <x:v>7</x:v>
      </x:c>
      <x:c r="B12" s="1" t="s">
        <x:v>8</x:v>
      </x:c>
      <x:c r="C12" s="1" t="s">
        <x:v>9</x:v>
      </x:c>
      <x:c r="D12" s="1" t="s">
        <x:v>10</x:v>
      </x:c>
      <x:c r="E12" s="1" t="s">
        <x:v>11</x:v>
      </x:c>
    </x:row>
    <x:row r="13" ht="24.299999237060547" customHeight="1">
      <x:c r="A13" s="2" t="s">
        <x:v>12</x:v>
      </x:c>
      <x:c r="B13" s="3" t="n">
        <x:f>'Article Scores'!D6</x:f>
        <x:v>84.5</x:v>
      </x:c>
      <x:c r="C13" s="2" t="n">
        <x:f>'Article Scores'!E6</x:f>
        <x:v>0</x:v>
      </x:c>
      <x:c r="D13" s="2" t="n">
        <x:f>'Article Scores'!F6</x:f>
        <x:v>2</x:v>
      </x:c>
      <x:c r="E13" s="2" t="str">
        <x:v>Usable; two targeted clarifications</x:v>
      </x:c>
    </x:row>
    <x:row r="14" ht="24.299999237060547" customHeight="1">
      <x:c r="A14" s="2" t="s">
        <x:v>13</x:v>
      </x:c>
      <x:c r="B14" s="3" t="n">
        <x:f>'Article Scores'!D7</x:f>
        <x:v>86.5</x:v>
      </x:c>
      <x:c r="C14" s="2" t="n">
        <x:f>'Article Scores'!E7</x:f>
        <x:v>0</x:v>
      </x:c>
      <x:c r="D14" s="2" t="n">
        <x:f>'Article Scores'!F7</x:f>
        <x:v>0</x:v>
      </x:c>
      <x:c r="E14" s="2" t="str">
        <x:v>Usable as published; no scored issues</x:v>
      </x:c>
    </x:row>
    <x:row r="15" ht="24.299999237060547" customHeight="1">
      <x:c r="A15" s="2" t="s">
        <x:v>14</x:v>
      </x:c>
      <x:c r="B15" s="3" t="n">
        <x:f>'Article Scores'!D8</x:f>
        <x:v>77.5</x:v>
      </x:c>
      <x:c r="C15" s="2" t="n">
        <x:f>'Article Scores'!E8</x:f>
        <x:v>2</x:v>
      </x:c>
      <x:c r="D15" s="2" t="n">
        <x:f>'Article Scores'!F8</x:f>
        <x:v>1</x:v>
      </x:c>
      <x:c r="E15" s="2" t="str">
        <x:v>Correct two material oxygen claims before publication</x:v>
      </x:c>
    </x:row>
    <x:row r="16" ht="24.299999237060547" customHeight="1">
      <x:c r="A16" s="2"/>
      <x:c r="B16" s="3"/>
      <x:c r="C16" s="2"/>
      <x:c r="D16" s="2"/>
      <x:c r="E16" s="2"/>
    </x:row>
    <x:row r="17" ht="24.299999237060547" customHeight="1">
      <x:c r="A17" s="2"/>
      <x:c r="B17" s="3"/>
      <x:c r="C17" s="2"/>
      <x:c r="D17" s="2"/>
      <x:c r="E17" s="2"/>
    </x:row>
    <x:row r="20" ht="17.850000381469727" customHeight="1">
      <x:c r="A20" s="11" t="s">
        <x:v>15</x:v>
      </x:c>
      <x:c r="B20" s="11"/>
      <x:c r="C20" s="11"/>
      <x:c r="D20" s="11"/>
      <x:c r="E20" s="11"/>
      <x:c r="F20" s="11"/>
      <x:c r="G20" s="11"/>
      <x:c r="H20" s="11"/>
    </x:row>
    <x:row r="21" ht="21.75" customHeight="1">
      <x:c r="A21" s="12" t="str">
        <x:v>*70/100 remains a proposed, not formally approved, benchmark. Maryam's final calibrated sample includes 3 articles (156 diagnostic checks); do not infer long-term performance from this sample alone.</x:v>
      </x:c>
      <x:c r="B21" s="12"/>
      <x:c r="C21" s="12"/>
      <x:c r="D21" s="12"/>
      <x:c r="E21" s="12"/>
      <x:c r="F21" s="12"/>
      <x:c r="G21" s="12"/>
      <x:c r="H21" s="12"/>
    </x:row>
  </x:sheetData>
  <x:mergeCells>
    <x:mergeCell ref="A1:H1"/>
    <x:mergeCell ref="A3:H3"/>
    <x:mergeCell ref="A20:H20"/>
    <x:mergeCell ref="A21:H21"/>
  </x:mergeCells>
  <x:conditionalFormatting sqref="B13:B17">
    <x:cfRule type="dataBar" priority="1">
      <x:dataBar>
        <x:cfvo type="min"/>
        <x:cfvo type="max"/>
        <x:color rgb="FF0E7490"/>
      </x:dataBar>
    </x:cfRule>
    <x:cfRule type="dataBar" priority="2">
      <x:dataBar>
        <x:cfvo type="min"/>
        <x:cfvo type="max"/>
        <x:color rgb="FF0E7490"/>
      </x:dataBar>
    </x:cfRule>
    <x:cfRule type="dataBar" priority="3">
      <x:dataBar>
        <x:cfvo type="min"/>
        <x:cfvo type="max"/>
        <x:color rgb="FF0E7490"/>
      </x:dataBar>
      <x:extLst>
        <x:ext xmlns:x14="http://schemas.microsoft.com/office/spreadsheetml/2009/9/main" uri="{B025F937-C7B1-47D3-B67F-A62EFF666E3E}">
          <x14:id>{2D2ACA86-9EB4-6F9D-F087-791D39861742}</x14:id>
        </x:ext>
      </x:extLst>
    </x:cfRule>
  </x:conditionalFormatting>
  <x:pageMargins left="0.7" right="0.7" top="0.75" bottom="0.75" header="0.3" footer="0.3"/>
  <x:extLst>
    <x:ext xmlns:x14="http://schemas.microsoft.com/office/spreadsheetml/2009/9/main" xmlns:xm="http://schemas.microsoft.com/office/excel/2006/main" uri="{78C0D931-6437-407d-A8EE-F0AAD7539E65}">
      <x14:conditionalFormattings>
        <x14:conditionalFormatting>
          <x14:cfRule type="dataBar" priority="3" id="{2D2ACA86-9EB4-6F9D-F087-791D39861742}">
            <x14:dataBar gradient="0">
              <x14:cfvo type="min"/>
              <x14:cfvo type="max"/>
              <x14:fillColor rgb="FF0E7490"/>
              <x14:negativeFillColor auto="1"/>
              <x14:axisColor auto="1"/>
            </x14:dataBar>
          </x14:cfRule>
          <xm:sqref>B13:B17</xm:sqref>
        </x14:conditionalFormatting>
      </x14:conditionalFormattings>
    </x:ext>
  </x:extLst>
</x:worksheet>
</file>

<file path=xl/worksheets/sheet2.xml><?xml version="1.0" encoding="utf-8"?>
<x:worksheet xmlns:x="http://schemas.openxmlformats.org/spreadsheetml/2006/main">
  <x:sheetViews>
    <x:sheetView workbookViewId="0">
      <x:pane ySplit="5" topLeftCell="A6" activePane="bottomLeft" state="frozen"/>
    </x:sheetView>
  </x:sheetViews>
  <x:sheetFormatPr defaultRowHeight="13.800000190734863"/>
  <x:cols>
    <x:col min="1" max="1" width="9" customWidth="1"/>
    <x:col min="2" max="2" width="49" customWidth="1"/>
    <x:col min="3" max="3" width="63" customWidth="1"/>
    <x:col min="4" max="6" width="18" customWidth="1"/>
    <x:col min="7" max="7" width="26" customWidth="1"/>
    <x:col min="8" max="8" width="51" customWidth="1"/>
  </x:cols>
  <x:sheetData>
    <x:row r="1" ht="36" customHeight="1">
      <x:c r="A1" s="9" t="s">
        <x:v>16</x:v>
      </x:c>
      <x:c r="B1" s="9"/>
      <x:c r="C1" s="9"/>
      <x:c r="D1" s="9"/>
      <x:c r="E1" s="9"/>
      <x:c r="F1" s="9"/>
      <x:c r="G1" s="9"/>
      <x:c r="H1" s="9"/>
    </x:row>
    <x:row r="3" ht="27" customHeight="1">
      <x:c r="A3" s="13" t="s">
        <x:v>17</x:v>
      </x:c>
      <x:c r="B3" s="13"/>
      <x:c r="C3" s="13"/>
      <x:c r="D3" s="13"/>
      <x:c r="E3" s="13"/>
      <x:c r="F3" s="13"/>
      <x:c r="G3" s="13"/>
      <x:c r="H3" s="13"/>
    </x:row>
    <x:row r="5" ht="31.950000762939453" customHeight="1">
      <x:c r="A5" s="1" t="s">
        <x:v>18</x:v>
      </x:c>
      <x:c r="B5" s="1" t="s">
        <x:v>7</x:v>
      </x:c>
      <x:c r="C5" s="1" t="s">
        <x:v>19</x:v>
      </x:c>
      <x:c r="D5" s="1" t="s">
        <x:v>8</x:v>
      </x:c>
      <x:c r="E5" s="1" t="s">
        <x:v>9</x:v>
      </x:c>
      <x:c r="F5" s="1" t="s">
        <x:v>10</x:v>
      </x:c>
      <x:c r="G5" s="1" t="s">
        <x:v>20</x:v>
      </x:c>
      <x:c r="H5" s="1" t="s">
        <x:v>21</x:v>
      </x:c>
    </x:row>
    <x:row r="6" ht="43.95000076293945" customHeight="1">
      <x:c r="A6" s="2">
        <x:v>1</x:v>
      </x:c>
      <x:c r="B6" s="2" t="s">
        <x:v>12</x:v>
      </x:c>
      <x:c r="C6" s="2" t="s">
        <x:v>22</x:v>
      </x:c>
      <x:c r="D6" s="3" t="n">
        <x:f>ROUND(SUMIF('8 Dimensions'!$A$6:$A$29,A6,'8 Dimensions'!$F$6:$F$29),1)</x:f>
        <x:v>84.5</x:v>
      </x:c>
      <x:c r="E6" s="2" t="n">
        <x:f>COUNTIFS(Issues!$B$6:$B$10,A6,Issues!$C$6:$C$10,"FAIL")</x:f>
        <x:v>0</x:v>
      </x:c>
      <x:c r="F6" s="2" t="n">
        <x:f>COUNTIFS(Issues!$B$6:$B$10,A6,Issues!$C$6:$C$10,"NEEDS IMPROVEMENT")</x:f>
        <x:v>2</x:v>
      </x:c>
      <x:c r="G6" s="2" t="s">
        <x:v>23</x:v>
      </x:c>
      <x:c r="H6" s="2" t="str">
        <x:v>Usable; clarify supplier-dependent pricing/MOQ and stock-box description</x:v>
      </x:c>
    </x:row>
    <x:row r="7" ht="43.95000076293945" customHeight="1">
      <x:c r="A7" s="2">
        <x:v>2</x:v>
      </x:c>
      <x:c r="B7" s="2" t="s">
        <x:v>13</x:v>
      </x:c>
      <x:c r="C7" s="2" t="s">
        <x:v>24</x:v>
      </x:c>
      <x:c r="D7" s="3" t="n">
        <x:f>ROUND(SUMIF('8 Dimensions'!$A$6:$A$29,A7,'8 Dimensions'!$F$6:$F$29),1)</x:f>
        <x:v>86.5</x:v>
      </x:c>
      <x:c r="E7" s="2" t="n">
        <x:f>COUNTIFS(Issues!$B$6:$B$10,A7,Issues!$C$6:$C$10,"FAIL")</x:f>
        <x:v>0</x:v>
      </x:c>
      <x:c r="F7" s="2" t="n">
        <x:f>COUNTIFS(Issues!$B$6:$B$10,A7,Issues!$C$6:$C$10,"NEEDS IMPROVEMENT")</x:f>
        <x:v>0</x:v>
      </x:c>
      <x:c r="G7" s="2" t="s">
        <x:v>23</x:v>
      </x:c>
      <x:c r="H7" s="2" t="str">
        <x:v>Usable as published; no retained scored findings</x:v>
      </x:c>
    </x:row>
    <x:row r="8" ht="43.95000076293945" customHeight="1">
      <x:c r="A8" s="2">
        <x:v>3</x:v>
      </x:c>
      <x:c r="B8" s="2" t="s">
        <x:v>14</x:v>
      </x:c>
      <x:c r="C8" s="2" t="s">
        <x:v>25</x:v>
      </x:c>
      <x:c r="D8" s="3" t="n">
        <x:f>ROUND(SUMIF('8 Dimensions'!$A$6:$A$29,A8,'8 Dimensions'!$F$6:$F$29),1)</x:f>
        <x:v>77.5</x:v>
      </x:c>
      <x:c r="E8" s="2" t="n">
        <x:f>COUNTIFS(Issues!$B$6:$B$10,A8,Issues!$C$6:$C$10,"FAIL")</x:f>
        <x:v>2</x:v>
      </x:c>
      <x:c r="F8" s="2" t="n">
        <x:f>COUNTIFS(Issues!$B$6:$B$10,A8,Issues!$C$6:$C$10,"NEEDS IMPROVEMENT")</x:f>
        <x:v>1</x:v>
      </x:c>
      <x:c r="G8" s="2" t="s">
        <x:v>23</x:v>
      </x:c>
      <x:c r="H8" s="2" t="str">
        <x:v>Correct two material oxygen-protection claims before publication</x:v>
      </x:c>
    </x:row>
    <x:row r="9" ht="43.95000076293945" customHeight="1">
      <x:c r="A9" s="2"/>
      <x:c r="B9" s="2"/>
      <x:c r="C9" s="2"/>
      <x:c r="D9" s="3"/>
      <x:c r="E9" s="2"/>
      <x:c r="F9" s="2"/>
      <x:c r="G9" s="2"/>
      <x:c r="H9" s="2"/>
    </x:row>
    <x:row r="10" ht="43.95000076293945" customHeight="1">
      <x:c r="A10" s="2"/>
      <x:c r="B10" s="2"/>
      <x:c r="C10" s="2"/>
      <x:c r="D10" s="3"/>
      <x:c r="E10" s="2"/>
      <x:c r="F10" s="2"/>
      <x:c r="G10" s="2"/>
      <x:c r="H10" s="2"/>
    </x:row>
  </x:sheetData>
  <x:mergeCells>
    <x:mergeCell ref="A1:H1"/>
    <x:mergeCell ref="A3:H3"/>
  </x:mergeCells>
  <x:conditionalFormatting sqref="D6:D10">
    <x:cfRule type="dataBar" priority="1">
      <x:dataBar>
        <x:cfvo type="min"/>
        <x:cfvo type="max"/>
        <x:color rgb="FF0E7490"/>
      </x:dataBar>
    </x:cfRule>
    <x:cfRule type="dataBar" priority="2">
      <x:dataBar>
        <x:cfvo type="min"/>
        <x:cfvo type="max"/>
        <x:color rgb="FF0E7490"/>
      </x:dataBar>
    </x:cfRule>
    <x:cfRule type="dataBar" priority="3">
      <x:dataBar>
        <x:cfvo type="min"/>
        <x:cfvo type="max"/>
        <x:color rgb="FF0E7490"/>
      </x:dataBar>
      <x:extLst>
        <x:ext xmlns:x14="http://schemas.microsoft.com/office/spreadsheetml/2009/9/main" uri="{B025F937-C7B1-47D3-B67F-A62EFF666E3E}">
          <x14:id>{D21D654A-EC92-0670-6565-E25FCA28AA82}</x14:id>
        </x:ext>
      </x:extLst>
    </x:cfRule>
  </x:conditionalFormatting>
  <x:pageMargins left="0.7" right="0.7" top="0.75" bottom="0.75" header="0.3" footer="0.3"/>
  <x:extLst>
    <x:ext xmlns:x14="http://schemas.microsoft.com/office/spreadsheetml/2009/9/main" xmlns:xm="http://schemas.microsoft.com/office/excel/2006/main" uri="{78C0D931-6437-407d-A8EE-F0AAD7539E65}">
      <x14:conditionalFormattings>
        <x14:conditionalFormatting>
          <x14:cfRule type="dataBar" priority="3" id="{D21D654A-EC92-0670-6565-E25FCA28AA82}">
            <x14:dataBar gradient="0">
              <x14:cfvo type="min"/>
              <x14:cfvo type="max"/>
              <x14:fillColor rgb="FF0E7490"/>
              <x14:negativeFillColor auto="1"/>
              <x14:axisColor auto="1"/>
            </x14:dataBar>
          </x14:cfRule>
          <xm:sqref>D6:D10</xm:sqref>
        </x14:conditionalFormatting>
      </x14:conditionalFormattings>
    </x:ext>
  </x:extLst>
</x:worksheet>
</file>

<file path=xl/worksheets/sheet3.xml><?xml version="1.0" encoding="utf-8"?>
<x:worksheet xmlns:x="http://schemas.openxmlformats.org/spreadsheetml/2006/main">
  <x:sheetViews>
    <x:sheetView workbookViewId="0">
      <x:pane ySplit="5" topLeftCell="A6" activePane="bottomLeft" state="frozen"/>
    </x:sheetView>
  </x:sheetViews>
  <x:sheetFormatPr defaultRowHeight="13.800000190734863"/>
  <x:cols>
    <x:col min="1" max="1" width="11" customWidth="1"/>
    <x:col min="2" max="2" width="24" customWidth="1"/>
    <x:col min="3" max="3" width="39" customWidth="1"/>
    <x:col min="4" max="4" width="14" customWidth="1"/>
    <x:col min="5" max="5" width="15" customWidth="1"/>
    <x:col min="6" max="6" width="20" customWidth="1"/>
    <x:col min="7" max="7" width="31" customWidth="1"/>
    <x:col min="8" max="8" width="107" customWidth="1"/>
  </x:cols>
  <x:sheetData>
    <x:row r="1" ht="36" customHeight="1">
      <x:c r="A1" s="9" t="s">
        <x:v>26</x:v>
      </x:c>
      <x:c r="B1" s="9"/>
      <x:c r="C1" s="9"/>
      <x:c r="D1" s="9"/>
      <x:c r="E1" s="9"/>
      <x:c r="F1" s="9"/>
      <x:c r="G1" s="9"/>
      <x:c r="H1" s="9"/>
    </x:row>
    <x:row r="3" ht="27" customHeight="1">
      <x:c r="A3" s="13" t="s">
        <x:v>27</x:v>
      </x:c>
      <x:c r="B3" s="13"/>
      <x:c r="C3" s="13"/>
      <x:c r="D3" s="13"/>
      <x:c r="E3" s="13"/>
      <x:c r="F3" s="13"/>
      <x:c r="G3" s="13"/>
      <x:c r="H3" s="13"/>
    </x:row>
    <x:row r="5" ht="31.950000762939453" customHeight="1">
      <x:c r="A5" s="1" t="s">
        <x:v>28</x:v>
      </x:c>
      <x:c r="B5" s="1" t="s">
        <x:v>7</x:v>
      </x:c>
      <x:c r="C5" s="1" t="s">
        <x:v>29</x:v>
      </x:c>
      <x:c r="D5" s="1" t="s">
        <x:v>30</x:v>
      </x:c>
      <x:c r="E5" s="1" t="s">
        <x:v>31</x:v>
      </x:c>
      <x:c r="F5" s="1" t="s">
        <x:v>32</x:v>
      </x:c>
      <x:c r="G5" s="1" t="s">
        <x:v>33</x:v>
      </x:c>
      <x:c r="H5" s="1" t="s">
        <x:v>34</x:v>
      </x:c>
    </x:row>
    <x:row r="6" ht="49.04999923706055" customHeight="1">
      <x:c r="A6" s="2">
        <x:v>1</x:v>
      </x:c>
      <x:c r="B6" s="2" t="s">
        <x:v>12</x:v>
      </x:c>
      <x:c r="C6" s="2" t="s">
        <x:v>35</x:v>
      </x:c>
      <x:c r="D6" s="2">
        <x:v>15</x:v>
      </x:c>
      <x:c r="E6" s="3">
        <x:v>4.5</x:v>
      </x:c>
      <x:c r="F6" s="3" t="n">
        <x:f>D6*E6/5</x:f>
        <x:v>13.5</x:v>
      </x:c>
      <x:c r="G6" s="2"/>
      <x:c r="H6" s="2" t="s">
        <x:v>36</x:v>
      </x:c>
    </x:row>
    <x:row r="7" ht="49.04999923706055" customHeight="1">
      <x:c r="A7" s="2">
        <x:v>1</x:v>
      </x:c>
      <x:c r="B7" s="2" t="s">
        <x:v>12</x:v>
      </x:c>
      <x:c r="C7" s="2" t="s">
        <x:v>37</x:v>
      </x:c>
      <x:c r="D7" s="2">
        <x:v>15</x:v>
      </x:c>
      <x:c r="E7" s="3" t="n">
        <x:v>4</x:v>
      </x:c>
      <x:c r="F7" s="3" t="n">
        <x:f>D7*E7/5</x:f>
        <x:v>12</x:v>
      </x:c>
      <x:c r="G7" s="2" t="str">
        <x:v>MY-B01-02, MY-B01-03</x:v>
      </x:c>
      <x:c r="H7" s="2" t="str">
        <x:v>The comparison is technically usable. Supplier-dependent price/MOQ ranges and the narrow stock-box definition merit clarification; the damage/returns comparison is acceptable B2B positioning.</x:v>
      </x:c>
    </x:row>
    <x:row r="8" ht="49.04999923706055" customHeight="1">
      <x:c r="A8" s="2">
        <x:v>1</x:v>
      </x:c>
      <x:c r="B8" s="2" t="s">
        <x:v>12</x:v>
      </x:c>
      <x:c r="C8" s="2" t="s">
        <x:v>38</x:v>
      </x:c>
      <x:c r="D8" s="2">
        <x:v>20</x:v>
      </x:c>
      <x:c r="E8" s="3">
        <x:v>4</x:v>
      </x:c>
      <x:c r="F8" s="3" t="n">
        <x:f>D8*E8/5</x:f>
        <x:v>16</x:v>
      </x:c>
      <x:c r="G8" s="2"/>
      <x:c r="H8" s="2" t="s">
        <x:v>39</x:v>
      </x:c>
    </x:row>
    <x:row r="9" ht="49.04999923706055" customHeight="1">
      <x:c r="A9" s="2">
        <x:v>1</x:v>
      </x:c>
      <x:c r="B9" s="2" t="s">
        <x:v>12</x:v>
      </x:c>
      <x:c r="C9" s="2" t="s">
        <x:v>40</x:v>
      </x:c>
      <x:c r="D9" s="2">
        <x:v>15</x:v>
      </x:c>
      <x:c r="E9" s="3">
        <x:v>4</x:v>
      </x:c>
      <x:c r="F9" s="3" t="n">
        <x:f>D9*E9/5</x:f>
        <x:v>12</x:v>
      </x:c>
      <x:c r="G9" s="2"/>
      <x:c r="H9" s="2" t="s">
        <x:v>41</x:v>
      </x:c>
    </x:row>
    <x:row r="10" ht="49.04999923706055" customHeight="1">
      <x:c r="A10" s="2">
        <x:v>1</x:v>
      </x:c>
      <x:c r="B10" s="2" t="s">
        <x:v>12</x:v>
      </x:c>
      <x:c r="C10" s="2" t="s">
        <x:v>42</x:v>
      </x:c>
      <x:c r="D10" s="2">
        <x:v>10</x:v>
      </x:c>
      <x:c r="E10" s="3">
        <x:v>4.5</x:v>
      </x:c>
      <x:c r="F10" s="3" t="n">
        <x:f>D10*E10/5</x:f>
        <x:v>9</x:v>
      </x:c>
      <x:c r="G10" s="2"/>
      <x:c r="H10" s="2" t="s">
        <x:v>43</x:v>
      </x:c>
    </x:row>
    <x:row r="11" ht="49.04999923706055" customHeight="1">
      <x:c r="A11" s="2">
        <x:v>1</x:v>
      </x:c>
      <x:c r="B11" s="2" t="s">
        <x:v>12</x:v>
      </x:c>
      <x:c r="C11" s="2" t="s">
        <x:v>44</x:v>
      </x:c>
      <x:c r="D11" s="2">
        <x:v>10</x:v>
      </x:c>
      <x:c r="E11" s="3">
        <x:v>4.5</x:v>
      </x:c>
      <x:c r="F11" s="3" t="n">
        <x:f>D11*E11/5</x:f>
        <x:v>9</x:v>
      </x:c>
      <x:c r="G11" s="2"/>
      <x:c r="H11" s="2" t="s">
        <x:v>45</x:v>
      </x:c>
    </x:row>
    <x:row r="12" ht="49.04999923706055" customHeight="1">
      <x:c r="A12" s="2">
        <x:v>1</x:v>
      </x:c>
      <x:c r="B12" s="2" t="s">
        <x:v>12</x:v>
      </x:c>
      <x:c r="C12" s="2" t="s">
        <x:v>46</x:v>
      </x:c>
      <x:c r="D12" s="2">
        <x:v>10</x:v>
      </x:c>
      <x:c r="E12" s="3">
        <x:v>4.5</x:v>
      </x:c>
      <x:c r="F12" s="3" t="n">
        <x:f>D12*E12/5</x:f>
        <x:v>9</x:v>
      </x:c>
      <x:c r="G12" s="2"/>
      <x:c r="H12" s="2" t="s">
        <x:v>47</x:v>
      </x:c>
    </x:row>
    <x:row r="13" ht="49.04999923706055" customHeight="1">
      <x:c r="A13" s="2">
        <x:v>1</x:v>
      </x:c>
      <x:c r="B13" s="2" t="s">
        <x:v>12</x:v>
      </x:c>
      <x:c r="C13" s="2" t="s">
        <x:v>48</x:v>
      </x:c>
      <x:c r="D13" s="2">
        <x:v>5</x:v>
      </x:c>
      <x:c r="E13" s="3">
        <x:v>4</x:v>
      </x:c>
      <x:c r="F13" s="3" t="n">
        <x:f>D13*E13/5</x:f>
        <x:v>4</x:v>
      </x:c>
      <x:c r="G13" s="2"/>
      <x:c r="H13" s="2" t="s">
        <x:v>49</x:v>
      </x:c>
    </x:row>
    <x:row r="14" ht="49.04999923706055" customHeight="1">
      <x:c r="A14" s="2">
        <x:v>2</x:v>
      </x:c>
      <x:c r="B14" s="2" t="s">
        <x:v>13</x:v>
      </x:c>
      <x:c r="C14" s="2" t="s">
        <x:v>35</x:v>
      </x:c>
      <x:c r="D14" s="2">
        <x:v>15</x:v>
      </x:c>
      <x:c r="E14" s="3">
        <x:v>4.5</x:v>
      </x:c>
      <x:c r="F14" s="3" t="n">
        <x:f>D14*E14/5</x:f>
        <x:v>13.5</x:v>
      </x:c>
      <x:c r="G14" s="2"/>
      <x:c r="H14" s="2" t="s">
        <x:v>50</x:v>
      </x:c>
    </x:row>
    <x:row r="15" ht="49.04999923706055" customHeight="1">
      <x:c r="A15" s="2">
        <x:v>2</x:v>
      </x:c>
      <x:c r="B15" s="2" t="s">
        <x:v>13</x:v>
      </x:c>
      <x:c r="C15" s="2" t="s">
        <x:v>37</x:v>
      </x:c>
      <x:c r="D15" s="2">
        <x:v>15</x:v>
      </x:c>
      <x:c r="E15" s="3" t="n">
        <x:v>4.5</x:v>
      </x:c>
      <x:c r="F15" s="3" t="n">
        <x:f>D15*E15/5</x:f>
        <x:v>13.5</x:v>
      </x:c>
      <x:c r="G15" s="2"/>
      <x:c r="H15" s="2" t="str">
        <x:v>Product constructions and cited market figures are relevant and reasonably supported. General claims about presentation protection are acceptable B2B positioning.</x:v>
      </x:c>
    </x:row>
    <x:row r="16" ht="49.04999923706055" customHeight="1">
      <x:c r="A16" s="2">
        <x:v>2</x:v>
      </x:c>
      <x:c r="B16" s="2" t="s">
        <x:v>13</x:v>
      </x:c>
      <x:c r="C16" s="2" t="s">
        <x:v>38</x:v>
      </x:c>
      <x:c r="D16" s="2">
        <x:v>20</x:v>
      </x:c>
      <x:c r="E16" s="3">
        <x:v>4</x:v>
      </x:c>
      <x:c r="F16" s="3" t="n">
        <x:f>D16*E16/5</x:f>
        <x:v>16</x:v>
      </x:c>
      <x:c r="G16" s="2"/>
      <x:c r="H16" s="2" t="s">
        <x:v>51</x:v>
      </x:c>
    </x:row>
    <x:row r="17" ht="49.04999923706055" customHeight="1">
      <x:c r="A17" s="2">
        <x:v>2</x:v>
      </x:c>
      <x:c r="B17" s="2" t="s">
        <x:v>13</x:v>
      </x:c>
      <x:c r="C17" s="2" t="s">
        <x:v>40</x:v>
      </x:c>
      <x:c r="D17" s="2">
        <x:v>15</x:v>
      </x:c>
      <x:c r="E17" s="3" t="n">
        <x:v>4.5</x:v>
      </x:c>
      <x:c r="F17" s="3" t="n">
        <x:f>D17*E17/5</x:f>
        <x:v>13.5</x:v>
      </x:c>
      <x:c r="G17" s="2"/>
      <x:c r="H17" s="2" t="str">
        <x:v>Explains magnetic closure formats, product applications, brand presentation and buyer choices. No remaining material buyer-decision weakness is scored.</x:v>
      </x:c>
    </x:row>
    <x:row r="18" ht="49.04999923706055" customHeight="1">
      <x:c r="A18" s="2">
        <x:v>2</x:v>
      </x:c>
      <x:c r="B18" s="2" t="s">
        <x:v>13</x:v>
      </x:c>
      <x:c r="C18" s="2" t="s">
        <x:v>42</x:v>
      </x:c>
      <x:c r="D18" s="2">
        <x:v>10</x:v>
      </x:c>
      <x:c r="E18" s="3">
        <x:v>4</x:v>
      </x:c>
      <x:c r="F18" s="3" t="n">
        <x:f>D18*E18/5</x:f>
        <x:v>8</x:v>
      </x:c>
      <x:c r="G18" s="2"/>
      <x:c r="H18" s="2" t="s">
        <x:v>52</x:v>
      </x:c>
    </x:row>
    <x:row r="19" ht="49.04999923706055" customHeight="1">
      <x:c r="A19" s="2">
        <x:v>2</x:v>
      </x:c>
      <x:c r="B19" s="2" t="s">
        <x:v>13</x:v>
      </x:c>
      <x:c r="C19" s="2" t="s">
        <x:v>44</x:v>
      </x:c>
      <x:c r="D19" s="2">
        <x:v>10</x:v>
      </x:c>
      <x:c r="E19" s="3">
        <x:v>4.5</x:v>
      </x:c>
      <x:c r="F19" s="3" t="n">
        <x:f>D19*E19/5</x:f>
        <x:v>9</x:v>
      </x:c>
      <x:c r="G19" s="2"/>
      <x:c r="H19" s="2" t="s">
        <x:v>53</x:v>
      </x:c>
    </x:row>
    <x:row r="20" ht="49.04999923706055" customHeight="1">
      <x:c r="A20" s="2">
        <x:v>2</x:v>
      </x:c>
      <x:c r="B20" s="2" t="s">
        <x:v>13</x:v>
      </x:c>
      <x:c r="C20" s="2" t="s">
        <x:v>46</x:v>
      </x:c>
      <x:c r="D20" s="2">
        <x:v>10</x:v>
      </x:c>
      <x:c r="E20" s="3">
        <x:v>4.5</x:v>
      </x:c>
      <x:c r="F20" s="3" t="n">
        <x:f>D20*E20/5</x:f>
        <x:v>9</x:v>
      </x:c>
      <x:c r="G20" s="2"/>
      <x:c r="H20" s="2" t="s">
        <x:v>54</x:v>
      </x:c>
    </x:row>
    <x:row r="21" ht="49.04999923706055" customHeight="1">
      <x:c r="A21" s="2">
        <x:v>2</x:v>
      </x:c>
      <x:c r="B21" s="2" t="s">
        <x:v>13</x:v>
      </x:c>
      <x:c r="C21" s="2" t="s">
        <x:v>48</x:v>
      </x:c>
      <x:c r="D21" s="2">
        <x:v>5</x:v>
      </x:c>
      <x:c r="E21" s="3">
        <x:v>4</x:v>
      </x:c>
      <x:c r="F21" s="3" t="n">
        <x:f>D21*E21/5</x:f>
        <x:v>4</x:v>
      </x:c>
      <x:c r="G21" s="2"/>
      <x:c r="H21" s="2" t="s">
        <x:v>55</x:v>
      </x:c>
    </x:row>
    <x:row r="22" ht="49.04999923706055" customHeight="1">
      <x:c r="A22" s="2">
        <x:v>3</x:v>
      </x:c>
      <x:c r="B22" s="2" t="s">
        <x:v>14</x:v>
      </x:c>
      <x:c r="C22" s="2" t="s">
        <x:v>35</x:v>
      </x:c>
      <x:c r="D22" s="2">
        <x:v>15</x:v>
      </x:c>
      <x:c r="E22" s="3">
        <x:v>4.5</x:v>
      </x:c>
      <x:c r="F22" s="3" t="n">
        <x:f>D22*E22/5</x:f>
        <x:v>13.5</x:v>
      </x:c>
      <x:c r="G22" s="2"/>
      <x:c r="H22" s="2" t="s">
        <x:v>56</x:v>
      </x:c>
    </x:row>
    <x:row r="23" ht="49.04999923706055" customHeight="1">
      <x:c r="A23" s="2">
        <x:v>3</x:v>
      </x:c>
      <x:c r="B23" s="2" t="s">
        <x:v>14</x:v>
      </x:c>
      <x:c r="C23" s="2" t="s">
        <x:v>37</x:v>
      </x:c>
      <x:c r="D23" s="2">
        <x:v>15</x:v>
      </x:c>
      <x:c r="E23" s="3" t="n">
        <x:v>2.5</x:v>
      </x:c>
      <x:c r="F23" s="3" t="n">
        <x:f>D23*E23/5</x:f>
        <x:v>7.5</x:v>
      </x:c>
      <x:c r="G23" s="2" t="str">
        <x:v>MY-B03-02, MY-B03-03</x:v>
      </x:c>
      <x:c r="H23" s="2" t="str">
        <x:v>Two material oxygen-related errors remain: heat sealing does not remove residual oxygen, and vacuum sealing does not guarantee oxygen removal or food safety. Other packaging explanations retain value.</x:v>
      </x:c>
    </x:row>
    <x:row r="24" ht="49.04999923706055" customHeight="1">
      <x:c r="A24" s="2">
        <x:v>3</x:v>
      </x:c>
      <x:c r="B24" s="2" t="s">
        <x:v>14</x:v>
      </x:c>
      <x:c r="C24" s="2" t="s">
        <x:v>38</x:v>
      </x:c>
      <x:c r="D24" s="2">
        <x:v>20</x:v>
      </x:c>
      <x:c r="E24" s="3">
        <x:v>4</x:v>
      </x:c>
      <x:c r="F24" s="3" t="n">
        <x:f>D24*E24/5</x:f>
        <x:v>16</x:v>
      </x:c>
      <x:c r="G24" s="2"/>
      <x:c r="H24" s="2" t="s">
        <x:v>57</x:v>
      </x:c>
    </x:row>
    <x:row r="25" ht="49.04999923706055" customHeight="1">
      <x:c r="A25" s="2">
        <x:v>3</x:v>
      </x:c>
      <x:c r="B25" s="2" t="s">
        <x:v>14</x:v>
      </x:c>
      <x:c r="C25" s="2" t="s">
        <x:v>40</x:v>
      </x:c>
      <x:c r="D25" s="2">
        <x:v>15</x:v>
      </x:c>
      <x:c r="E25" s="3">
        <x:v>3.5</x:v>
      </x:c>
      <x:c r="F25" s="3" t="n">
        <x:f>D25*E25/5</x:f>
        <x:v>10.5</x:v>
      </x:c>
      <x:c r="G25" s="2"/>
      <x:c r="H25" s="2" t="s">
        <x:v>58</x:v>
      </x:c>
    </x:row>
    <x:row r="26" ht="49.04999923706055" customHeight="1">
      <x:c r="A26" s="2">
        <x:v>3</x:v>
      </x:c>
      <x:c r="B26" s="2" t="s">
        <x:v>14</x:v>
      </x:c>
      <x:c r="C26" s="2" t="s">
        <x:v>42</x:v>
      </x:c>
      <x:c r="D26" s="2">
        <x:v>10</x:v>
      </x:c>
      <x:c r="E26" s="3">
        <x:v>4</x:v>
      </x:c>
      <x:c r="F26" s="3" t="n">
        <x:f>D26*E26/5</x:f>
        <x:v>8</x:v>
      </x:c>
      <x:c r="G26" s="2"/>
      <x:c r="H26" s="2" t="s">
        <x:v>59</x:v>
      </x:c>
    </x:row>
    <x:row r="27" ht="49.04999923706055" customHeight="1">
      <x:c r="A27" s="2">
        <x:v>3</x:v>
      </x:c>
      <x:c r="B27" s="2" t="s">
        <x:v>14</x:v>
      </x:c>
      <x:c r="C27" s="2" t="s">
        <x:v>44</x:v>
      </x:c>
      <x:c r="D27" s="2">
        <x:v>10</x:v>
      </x:c>
      <x:c r="E27" s="3">
        <x:v>4.5</x:v>
      </x:c>
      <x:c r="F27" s="3" t="n">
        <x:f>D27*E27/5</x:f>
        <x:v>9</x:v>
      </x:c>
      <x:c r="G27" s="2"/>
      <x:c r="H27" s="2" t="s">
        <x:v>60</x:v>
      </x:c>
    </x:row>
    <x:row r="28" ht="49.04999923706055" customHeight="1">
      <x:c r="A28" s="2">
        <x:v>3</x:v>
      </x:c>
      <x:c r="B28" s="2" t="s">
        <x:v>14</x:v>
      </x:c>
      <x:c r="C28" s="2" t="s">
        <x:v>46</x:v>
      </x:c>
      <x:c r="D28" s="2">
        <x:v>10</x:v>
      </x:c>
      <x:c r="E28" s="3">
        <x:v>4.5</x:v>
      </x:c>
      <x:c r="F28" s="3" t="n">
        <x:f>D28*E28/5</x:f>
        <x:v>9</x:v>
      </x:c>
      <x:c r="G28" s="2" t="s">
        <x:v>61</x:v>
      </x:c>
      <x:c r="H28" s="2" t="s">
        <x:v>62</x:v>
      </x:c>
    </x:row>
    <x:row r="29" ht="49.04999923706055" customHeight="1">
      <x:c r="A29" s="2">
        <x:v>3</x:v>
      </x:c>
      <x:c r="B29" s="2" t="s">
        <x:v>14</x:v>
      </x:c>
      <x:c r="C29" s="2" t="s">
        <x:v>48</x:v>
      </x:c>
      <x:c r="D29" s="2">
        <x:v>5</x:v>
      </x:c>
      <x:c r="E29" s="3">
        <x:v>4</x:v>
      </x:c>
      <x:c r="F29" s="3" t="n">
        <x:f>D29*E29/5</x:f>
        <x:v>4</x:v>
      </x:c>
      <x:c r="G29" s="2"/>
      <x:c r="H29" s="2" t="s">
        <x:v>63</x:v>
      </x:c>
    </x:row>
    <x:row r="30" ht="49.04999923706055" customHeight="1">
      <x:c r="A30" s="2"/>
      <x:c r="B30" s="2"/>
      <x:c r="C30" s="2"/>
      <x:c r="D30" s="2"/>
      <x:c r="E30" s="3"/>
      <x:c r="F30" s="3"/>
      <x:c r="G30" s="2"/>
      <x:c r="H30" s="2"/>
    </x:row>
    <x:row r="31" ht="49.04999923706055" customHeight="1">
      <x:c r="A31" s="2"/>
      <x:c r="B31" s="2"/>
      <x:c r="C31" s="2"/>
      <x:c r="D31" s="2"/>
      <x:c r="E31" s="3"/>
      <x:c r="F31" s="3"/>
      <x:c r="G31" s="2"/>
      <x:c r="H31" s="2"/>
    </x:row>
    <x:row r="32" ht="49.04999923706055" customHeight="1">
      <x:c r="A32" s="2"/>
      <x:c r="B32" s="2"/>
      <x:c r="C32" s="2"/>
      <x:c r="D32" s="2"/>
      <x:c r="E32" s="3"/>
      <x:c r="F32" s="3"/>
      <x:c r="G32" s="2"/>
      <x:c r="H32" s="2"/>
    </x:row>
    <x:row r="33" ht="49.04999923706055" customHeight="1">
      <x:c r="A33" s="2"/>
      <x:c r="B33" s="2"/>
      <x:c r="C33" s="2"/>
      <x:c r="D33" s="2"/>
      <x:c r="E33" s="3"/>
      <x:c r="F33" s="3"/>
      <x:c r="G33" s="2"/>
      <x:c r="H33" s="2"/>
    </x:row>
    <x:row r="34" ht="49.04999923706055" customHeight="1">
      <x:c r="A34" s="2"/>
      <x:c r="B34" s="2"/>
      <x:c r="C34" s="2"/>
      <x:c r="D34" s="2"/>
      <x:c r="E34" s="3"/>
      <x:c r="F34" s="3"/>
      <x:c r="G34" s="2"/>
      <x:c r="H34" s="2"/>
    </x:row>
    <x:row r="35" ht="49.04999923706055" customHeight="1">
      <x:c r="A35" s="2"/>
      <x:c r="B35" s="2"/>
      <x:c r="C35" s="2"/>
      <x:c r="D35" s="2"/>
      <x:c r="E35" s="3"/>
      <x:c r="F35" s="3"/>
      <x:c r="G35" s="2"/>
      <x:c r="H35" s="2"/>
    </x:row>
    <x:row r="36" ht="49.04999923706055" customHeight="1">
      <x:c r="A36" s="2"/>
      <x:c r="B36" s="2"/>
      <x:c r="C36" s="2"/>
      <x:c r="D36" s="2"/>
      <x:c r="E36" s="3"/>
      <x:c r="F36" s="3"/>
      <x:c r="G36" s="2"/>
      <x:c r="H36" s="2"/>
    </x:row>
    <x:row r="37" ht="49.04999923706055" customHeight="1">
      <x:c r="A37" s="2"/>
      <x:c r="B37" s="2"/>
      <x:c r="C37" s="2"/>
      <x:c r="D37" s="2"/>
      <x:c r="E37" s="3"/>
      <x:c r="F37" s="3"/>
      <x:c r="G37" s="2"/>
      <x:c r="H37" s="2"/>
    </x:row>
    <x:row r="38" ht="49.04999923706055" customHeight="1">
      <x:c r="A38" s="2"/>
      <x:c r="B38" s="2"/>
      <x:c r="C38" s="2"/>
      <x:c r="D38" s="2"/>
      <x:c r="E38" s="3"/>
      <x:c r="F38" s="3"/>
      <x:c r="G38" s="2"/>
      <x:c r="H38" s="2"/>
    </x:row>
    <x:row r="39" ht="49.04999923706055" customHeight="1">
      <x:c r="A39" s="2"/>
      <x:c r="B39" s="2"/>
      <x:c r="C39" s="2"/>
      <x:c r="D39" s="2"/>
      <x:c r="E39" s="3"/>
      <x:c r="F39" s="3"/>
      <x:c r="G39" s="2"/>
      <x:c r="H39" s="2"/>
    </x:row>
    <x:row r="40" ht="49.04999923706055" customHeight="1">
      <x:c r="A40" s="2"/>
      <x:c r="B40" s="2"/>
      <x:c r="C40" s="2"/>
      <x:c r="D40" s="2"/>
      <x:c r="E40" s="3"/>
      <x:c r="F40" s="3"/>
      <x:c r="G40" s="2"/>
      <x:c r="H40" s="2"/>
    </x:row>
    <x:row r="41" ht="49.04999923706055" customHeight="1">
      <x:c r="A41" s="2"/>
      <x:c r="B41" s="2"/>
      <x:c r="C41" s="2"/>
      <x:c r="D41" s="2"/>
      <x:c r="E41" s="3"/>
      <x:c r="F41" s="3"/>
      <x:c r="G41" s="2"/>
      <x:c r="H41" s="2"/>
    </x:row>
    <x:row r="42" ht="49.04999923706055" customHeight="1">
      <x:c r="A42" s="2"/>
      <x:c r="B42" s="2"/>
      <x:c r="C42" s="2"/>
      <x:c r="D42" s="2"/>
      <x:c r="E42" s="3"/>
      <x:c r="F42" s="3"/>
      <x:c r="G42" s="2"/>
      <x:c r="H42" s="2"/>
    </x:row>
    <x:row r="43" ht="49.04999923706055" customHeight="1">
      <x:c r="A43" s="2"/>
      <x:c r="B43" s="2"/>
      <x:c r="C43" s="2"/>
      <x:c r="D43" s="2"/>
      <x:c r="E43" s="3"/>
      <x:c r="F43" s="3"/>
      <x:c r="G43" s="2"/>
      <x:c r="H43" s="2"/>
    </x:row>
    <x:row r="44" ht="49.04999923706055" customHeight="1">
      <x:c r="A44" s="2"/>
      <x:c r="B44" s="2"/>
      <x:c r="C44" s="2"/>
      <x:c r="D44" s="2"/>
      <x:c r="E44" s="3"/>
      <x:c r="F44" s="3"/>
      <x:c r="G44" s="2"/>
      <x:c r="H44" s="2"/>
    </x:row>
    <x:row r="45" ht="49.04999923706055" customHeight="1">
      <x:c r="A45" s="2"/>
      <x:c r="B45" s="2"/>
      <x:c r="C45" s="2"/>
      <x:c r="D45" s="2"/>
      <x:c r="E45" s="3"/>
      <x:c r="F45" s="3"/>
      <x:c r="G45" s="2"/>
      <x:c r="H45" s="2"/>
    </x:row>
  </x:sheetData>
  <x:mergeCells>
    <x:mergeCell ref="A1:H1"/>
    <x:mergeCell ref="A3:H3"/>
  </x:mergeCells>
  <x:pageMargins left="0.7" right="0.7" top="0.75" bottom="0.75" header="0.3" footer="0.3"/>
</x:worksheet>
</file>

<file path=xl/worksheets/sheet4.xml><?xml version="1.0" encoding="utf-8"?>
<x:worksheet xmlns:x="http://schemas.openxmlformats.org/spreadsheetml/2006/main">
  <x:sheetViews>
    <x:sheetView workbookViewId="0">
      <x:pane ySplit="9" topLeftCell="A10" activePane="bottomLeft" state="frozen"/>
    </x:sheetView>
  </x:sheetViews>
  <x:sheetFormatPr defaultRowHeight="13.800000190734863"/>
  <x:cols>
    <x:col min="1" max="1" width="14" customWidth="1"/>
    <x:col min="2" max="2" width="12" customWidth="1"/>
    <x:col min="3" max="3" width="23" customWidth="1"/>
    <x:col min="4" max="4" width="13" customWidth="1"/>
    <x:col min="5" max="5" width="52" customWidth="1"/>
    <x:col min="6" max="6" width="69" customWidth="1"/>
    <x:col min="7" max="7" width="88" customWidth="1"/>
    <x:col min="8" max="8" width="100" customWidth="1"/>
    <x:col min="9" max="9" width="19" customWidth="1"/>
    <x:col min="10" max="10" width="64" customWidth="1"/>
  </x:cols>
  <x:sheetData>
    <x:row r="1">
      <x:c r="A1" t="s">
        <x:v>64</x:v>
      </x:c>
    </x:row>
    <x:row r="3">
      <x:c r="A3" t="s">
        <x:v>65</x:v>
      </x:c>
    </x:row>
    <x:row r="5" ht="31.950000762939453" customHeight="1">
      <x:c r="A5" s="1" t="s">
        <x:v>66</x:v>
      </x:c>
      <x:c r="B5" s="1" t="s">
        <x:v>28</x:v>
      </x:c>
      <x:c r="C5" s="1" t="s">
        <x:v>67</x:v>
      </x:c>
      <x:c r="D5" s="1" t="s">
        <x:v>68</x:v>
      </x:c>
      <x:c r="E5" s="1" t="s">
        <x:v>69</x:v>
      </x:c>
      <x:c r="F5" s="1" t="s">
        <x:v>70</x:v>
      </x:c>
      <x:c r="G5" s="1" t="s">
        <x:v>71</x:v>
      </x:c>
      <x:c r="H5" s="1" t="s">
        <x:v>72</x:v>
      </x:c>
      <x:c r="I5" s="1" t="s">
        <x:v>73</x:v>
      </x:c>
      <x:c r="J5" s="1" t="s">
        <x:v>74</x:v>
      </x:c>
    </x:row>
    <x:row r="6" ht="58.04999923706055" customHeight="1">
      <x:c r="A6" s="2" t="s">
        <x:v>75</x:v>
      </x:c>
      <x:c r="B6" s="2">
        <x:v>1</x:v>
      </x:c>
      <x:c r="C6" s="2" t="s">
        <x:v>76</x:v>
      </x:c>
      <x:c r="D6" s="2" t="s">
        <x:v>77</x:v>
      </x:c>
      <x:c r="E6" s="2" t="s">
        <x:v>78</x:v>
      </x:c>
      <x:c r="F6" s="2" t="s">
        <x:v>79</x:v>
      </x:c>
      <x:c r="G6" s="2" t="s">
        <x:v>80</x:v>
      </x:c>
      <x:c r="H6" s="2" t="s">
        <x:v>81</x:v>
      </x:c>
      <x:c r="I6" s="2" t="s">
        <x:v>82</x:v>
      </x:c>
      <x:c r="J6" s="2" t="s">
        <x:v>22</x:v>
      </x:c>
    </x:row>
    <x:row r="7" ht="58.04999923706055" customHeight="1">
      <x:c r="A7" s="2" t="s">
        <x:v>83</x:v>
      </x:c>
      <x:c r="B7" s="2">
        <x:v>1</x:v>
      </x:c>
      <x:c r="C7" s="2" t="s">
        <x:v>76</x:v>
      </x:c>
      <x:c r="D7" s="2" t="s">
        <x:v>84</x:v>
      </x:c>
      <x:c r="E7" s="2" t="s">
        <x:v>85</x:v>
      </x:c>
      <x:c r="F7" s="2" t="s">
        <x:v>86</x:v>
      </x:c>
      <x:c r="G7" s="2" t="s">
        <x:v>87</x:v>
      </x:c>
      <x:c r="H7" s="2" t="s">
        <x:v>88</x:v>
      </x:c>
      <x:c r="I7" s="2" t="s">
        <x:v>89</x:v>
      </x:c>
      <x:c r="J7" s="2" t="s">
        <x:v>22</x:v>
      </x:c>
    </x:row>
    <x:row r="8" ht="58.04999923706055" customHeight="1">
      <x:c r="A8" s="2" t="s">
        <x:v>90</x:v>
      </x:c>
      <x:c r="B8" s="2">
        <x:v>3</x:v>
      </x:c>
      <x:c r="C8" s="2" t="s">
        <x:v>91</x:v>
      </x:c>
      <x:c r="D8" s="2" t="s">
        <x:v>92</x:v>
      </x:c>
      <x:c r="E8" s="2" t="s">
        <x:v>93</x:v>
      </x:c>
      <x:c r="F8" s="2" t="s">
        <x:v>94</x:v>
      </x:c>
      <x:c r="G8" s="2" t="str">
        <x:v>A heat seal closes the pouch opening, but cannot remove oxygen already trapped inside. Buyers may assume complete oxygen protection and choose unsuitable packaging, risking oxidation, reduced shelf life, or product quality loss. Actual performance depends on barrier film, headspace oxygen and seal integrity.</x:v>
      </x:c>
      <x:c r="H8" s="2" t="str">
        <x:v>Replace with: A properly made heat seal closes the pouch and helps limit air entering through the opening. However, it does not remove oxygen already inside; the film's barrier performance, residual oxygen and seal integrity determine the protection provided.</x:v>
      </x:c>
      <x:c r="I8" s="2" t="s">
        <x:v>95</x:v>
      </x:c>
      <x:c r="J8" s="2" t="s">
        <x:v>25</x:v>
      </x:c>
    </x:row>
    <x:row r="9" ht="58.04999923706055" customHeight="1">
      <x:c r="A9" s="2" t="s">
        <x:v>96</x:v>
      </x:c>
      <x:c r="B9" s="2">
        <x:v>3</x:v>
      </x:c>
      <x:c r="C9" s="2" t="s">
        <x:v>91</x:v>
      </x:c>
      <x:c r="D9" s="2" t="s">
        <x:v>92</x:v>
      </x:c>
      <x:c r="E9" s="2" t="s">
        <x:v>97</x:v>
      </x:c>
      <x:c r="F9" s="2" t="s">
        <x:v>98</x:v>
      </x:c>
      <x:c r="G9" s="2" t="str">
        <x:v>Vacuum equipment removes much of the air, not necessarily all oxygen, and vacuum packing alone does not guarantee food safety. A buyer who relies on the article's 'complete safety' promise could choose a preservation method unsuitable for the product, risking spoilage or damage. Oxygen absorbers are a separate, product-dependent method.</x:v>
      </x:c>
      <x:c r="H9" s="2" t="str">
        <x:v>Replace with: Vacuum sealing removes much of the air before the pouch is sealed, but residual oxygen may remain. Depending on the product, suitable oxygen absorbers and verified storage conditions may provide additional protection; vacuum sealing alone does not guarantee food safety.</x:v>
      </x:c>
      <x:c r="I9" s="2" t="s">
        <x:v>99</x:v>
      </x:c>
      <x:c r="J9" s="2" t="s">
        <x:v>25</x:v>
      </x:c>
    </x:row>
    <x:row r="10" ht="58.04999923706055" customHeight="1">
      <x:c r="A10" s="2" t="s">
        <x:v>61</x:v>
      </x:c>
      <x:c r="B10" s="2">
        <x:v>3</x:v>
      </x:c>
      <x:c r="C10" s="2" t="s">
        <x:v>76</x:v>
      </x:c>
      <x:c r="D10" s="2" t="s">
        <x:v>77</x:v>
      </x:c>
      <x:c r="E10" s="2" t="s">
        <x:v>100</x:v>
      </x:c>
      <x:c r="F10" s="2" t="s">
        <x:v>101</x:v>
      </x:c>
      <x:c r="G10" s="2" t="s">
        <x:v>102</x:v>
      </x:c>
      <x:c r="H10" s="2" t="s">
        <x:v>103</x:v>
      </x:c>
      <x:c r="I10" s="2" t="s">
        <x:v>104</x:v>
      </x:c>
      <x:c r="J10" s="2" t="s">
        <x:v>25</x:v>
      </x:c>
    </x:row>
    <x:row r="11" ht="60" customHeight="1">
      <x:c r="A11" s="2"/>
      <x:c r="B11" s="2"/>
      <x:c r="C11" s="2"/>
      <x:c r="D11" s="2"/>
      <x:c r="E11" s="2"/>
      <x:c r="F11" s="2"/>
      <x:c r="G11" s="2"/>
      <x:c r="H11" s="2"/>
      <x:c r="I11" s="2"/>
      <x:c r="J11" s="2"/>
    </x:row>
    <x:row r="12" ht="60" customHeight="1">
      <x:c r="A12" s="2"/>
      <x:c r="B12" s="2"/>
      <x:c r="C12" s="2"/>
      <x:c r="D12" s="2"/>
      <x:c r="E12" s="2"/>
      <x:c r="F12" s="2"/>
      <x:c r="G12" s="2"/>
      <x:c r="H12" s="2"/>
      <x:c r="I12" s="2"/>
      <x:c r="J12" s="2"/>
    </x:row>
    <x:row r="13" ht="60" customHeight="1">
      <x:c r="A13" s="2"/>
      <x:c r="B13" s="2"/>
      <x:c r="C13" s="2"/>
      <x:c r="D13" s="2"/>
      <x:c r="E13" s="2"/>
      <x:c r="F13" s="2"/>
      <x:c r="G13" s="2"/>
      <x:c r="H13" s="2"/>
      <x:c r="I13" s="2"/>
      <x:c r="J13" s="2"/>
    </x:row>
  </x:sheetData>
  <x:pageMargins left="0.7" right="0.7" top="0.75" bottom="0.75" header="0.3" footer="0.3"/>
</x:worksheet>
</file>

<file path=xl/worksheets/sheet5.xml><?xml version="1.0" encoding="utf-8"?>
<x:worksheet xmlns:x="http://schemas.openxmlformats.org/spreadsheetml/2006/main">
  <x:sheetViews>
    <x:sheetView workbookViewId="0">
      <x:pane ySplit="5" topLeftCell="A6" activePane="bottomLeft" state="frozen"/>
    </x:sheetView>
  </x:sheetViews>
  <x:sheetFormatPr defaultRowHeight="13.800000190734863"/>
  <x:cols>
    <x:col min="1" max="1" width="12" customWidth="1"/>
    <x:col min="2" max="2" width="26" customWidth="1"/>
    <x:col min="3" max="3" width="28" customWidth="1"/>
    <x:col min="4" max="4" width="21" customWidth="1"/>
    <x:col min="5" max="5" width="27" customWidth="1"/>
    <x:col min="6" max="6" width="58" customWidth="1"/>
    <x:col min="7" max="7" width="69" customWidth="1"/>
    <x:col min="8" max="8" width="66" customWidth="1"/>
    <x:col min="9" max="9" width="58" customWidth="1"/>
  </x:cols>
  <x:sheetData>
    <x:row r="1">
      <x:c r="A1" t="s">
        <x:v>105</x:v>
      </x:c>
    </x:row>
    <x:row r="3">
      <x:c r="A3" t="s">
        <x:v>106</x:v>
      </x:c>
    </x:row>
    <x:row r="5" ht="31.950000762939453" customHeight="1">
      <x:c r="A5" s="1" t="s">
        <x:v>28</x:v>
      </x:c>
      <x:c r="B5" s="1" t="s">
        <x:v>7</x:v>
      </x:c>
      <x:c r="C5" s="1" t="s">
        <x:v>107</x:v>
      </x:c>
      <x:c r="D5" s="1" t="s">
        <x:v>108</x:v>
      </x:c>
      <x:c r="E5" s="1" t="s">
        <x:v>109</x:v>
      </x:c>
      <x:c r="F5" s="1" t="s">
        <x:v>110</x:v>
      </x:c>
      <x:c r="G5" s="1" t="s">
        <x:v>111</x:v>
      </x:c>
      <x:c r="H5" s="1" t="s">
        <x:v>112</x:v>
      </x:c>
      <x:c r="I5" s="1" t="s">
        <x:v>113</x:v>
      </x:c>
    </x:row>
    <x:row r="6" ht="37.95000076293945" customHeight="1">
      <x:c r="A6" s="2">
        <x:v>1</x:v>
      </x:c>
      <x:c r="B6" s="2" t="s">
        <x:v>12</x:v>
      </x:c>
      <x:c r="C6" s="2" t="s">
        <x:v>114</x:v>
      </x:c>
      <x:c r="D6" s="2" t="s">
        <x:v>115</x:v>
      </x:c>
      <x:c r="E6" s="2" t="s">
        <x:v>116</x:v>
      </x:c>
      <x:c r="F6" s="2" t="s">
        <x:v>117</x:v>
      </x:c>
      <x:c r="G6" s="2" t="s">
        <x:v>118</x:v>
      </x:c>
      <x:c r="H6" s="2"/>
      <x:c r="I6" s="2" t="s">
        <x:v>22</x:v>
      </x:c>
    </x:row>
    <x:row r="7" ht="37.95000076293945" customHeight="1">
      <x:c r="A7" s="2">
        <x:v>1</x:v>
      </x:c>
      <x:c r="B7" s="2" t="s">
        <x:v>12</x:v>
      </x:c>
      <x:c r="C7" s="2" t="s">
        <x:v>119</x:v>
      </x:c>
      <x:c r="D7" s="2" t="s">
        <x:v>115</x:v>
      </x:c>
      <x:c r="E7" s="2" t="s">
        <x:v>120</x:v>
      </x:c>
      <x:c r="F7" s="2" t="s">
        <x:v>117</x:v>
      </x:c>
      <x:c r="G7" s="2" t="s">
        <x:v>121</x:v>
      </x:c>
      <x:c r="H7" s="2"/>
      <x:c r="I7" s="2" t="s">
        <x:v>22</x:v>
      </x:c>
    </x:row>
    <x:row r="8" ht="37.95000076293945" customHeight="1">
      <x:c r="A8" s="2">
        <x:v>1</x:v>
      </x:c>
      <x:c r="B8" s="2" t="s">
        <x:v>12</x:v>
      </x:c>
      <x:c r="C8" s="2" t="s">
        <x:v>122</x:v>
      </x:c>
      <x:c r="D8" s="2" t="s">
        <x:v>115</x:v>
      </x:c>
      <x:c r="E8" s="2" t="s">
        <x:v>123</x:v>
      </x:c>
      <x:c r="F8" s="2" t="s">
        <x:v>124</x:v>
      </x:c>
      <x:c r="G8" s="2" t="s">
        <x:v>125</x:v>
      </x:c>
      <x:c r="H8" s="2"/>
      <x:c r="I8" s="2" t="s">
        <x:v>22</x:v>
      </x:c>
    </x:row>
    <x:row r="9" ht="37.95000076293945" customHeight="1">
      <x:c r="A9" s="2">
        <x:v>1</x:v>
      </x:c>
      <x:c r="B9" s="2" t="s">
        <x:v>12</x:v>
      </x:c>
      <x:c r="C9" s="2" t="s">
        <x:v>126</x:v>
      </x:c>
      <x:c r="D9" s="2" t="s">
        <x:v>115</x:v>
      </x:c>
      <x:c r="E9" s="2" t="s">
        <x:v>127</x:v>
      </x:c>
      <x:c r="F9" s="2" t="s">
        <x:v>117</x:v>
      </x:c>
      <x:c r="G9" s="2" t="s">
        <x:v>128</x:v>
      </x:c>
      <x:c r="H9" s="2"/>
      <x:c r="I9" s="2" t="s">
        <x:v>22</x:v>
      </x:c>
    </x:row>
    <x:row r="10" ht="37.95000076293945" customHeight="1">
      <x:c r="A10" s="2">
        <x:v>1</x:v>
      </x:c>
      <x:c r="B10" s="2" t="s">
        <x:v>12</x:v>
      </x:c>
      <x:c r="C10" s="2" t="s">
        <x:v>129</x:v>
      </x:c>
      <x:c r="D10" s="2" t="s">
        <x:v>115</x:v>
      </x:c>
      <x:c r="E10" s="2" t="s">
        <x:v>130</x:v>
      </x:c>
      <x:c r="F10" s="2" t="s">
        <x:v>117</x:v>
      </x:c>
      <x:c r="G10" s="2" t="s">
        <x:v>131</x:v>
      </x:c>
      <x:c r="H10" s="2"/>
      <x:c r="I10" s="2" t="s">
        <x:v>22</x:v>
      </x:c>
    </x:row>
    <x:row r="11" ht="37.95000076293945" customHeight="1">
      <x:c r="A11" s="2">
        <x:v>1</x:v>
      </x:c>
      <x:c r="B11" s="2" t="s">
        <x:v>12</x:v>
      </x:c>
      <x:c r="C11" s="2" t="s">
        <x:v>132</x:v>
      </x:c>
      <x:c r="D11" s="2" t="s">
        <x:v>115</x:v>
      </x:c>
      <x:c r="E11" s="2" t="s">
        <x:v>133</x:v>
      </x:c>
      <x:c r="F11" s="2" t="s">
        <x:v>117</x:v>
      </x:c>
      <x:c r="G11" s="2" t="s">
        <x:v>134</x:v>
      </x:c>
      <x:c r="H11" s="2"/>
      <x:c r="I11" s="2" t="s">
        <x:v>22</x:v>
      </x:c>
    </x:row>
    <x:row r="12" ht="37.95000076293945" customHeight="1">
      <x:c r="A12" s="2">
        <x:v>1</x:v>
      </x:c>
      <x:c r="B12" s="2" t="s">
        <x:v>12</x:v>
      </x:c>
      <x:c r="C12" s="2" t="s">
        <x:v>135</x:v>
      </x:c>
      <x:c r="D12" s="2" t="s">
        <x:v>136</x:v>
      </x:c>
      <x:c r="E12" s="2" t="s">
        <x:v>137</x:v>
      </x:c>
      <x:c r="F12" s="2" t="s">
        <x:v>76</x:v>
      </x:c>
      <x:c r="G12" s="2" t="s">
        <x:v>138</x:v>
      </x:c>
      <x:c r="H12" s="2" t="s">
        <x:v>83</x:v>
      </x:c>
      <x:c r="I12" s="2" t="s">
        <x:v>139</x:v>
      </x:c>
    </x:row>
    <x:row r="13" ht="37.95000076293945" customHeight="1">
      <x:c r="A13" s="2">
        <x:v>1</x:v>
      </x:c>
      <x:c r="B13" s="2" t="s">
        <x:v>12</x:v>
      </x:c>
      <x:c r="C13" s="2" t="s">
        <x:v>140</x:v>
      </x:c>
      <x:c r="D13" s="2" t="s">
        <x:v>136</x:v>
      </x:c>
      <x:c r="E13" s="2" t="s">
        <x:v>141</x:v>
      </x:c>
      <x:c r="F13" s="2" t="str">
        <x:v>ACCEPTABLE</x:v>
      </x:c>
      <x:c r="G13" s="2" t="str">
        <x:v>The table's general comparison of stock and custom protection is acceptable commercial positioning, not a verified universal damage-rate claim.</x:v>
      </x:c>
      <x:c r="H13" s="2"/>
      <x:c r="I13" s="2" t="str">
        <x:v>https://print247.us/post/custom-retail-boxes-vs-stock-boxes-which-one-is-better</x:v>
      </x:c>
    </x:row>
    <x:row r="14" ht="37.95000076293945" customHeight="1">
      <x:c r="A14" s="2">
        <x:v>1</x:v>
      </x:c>
      <x:c r="B14" s="2" t="s">
        <x:v>12</x:v>
      </x:c>
      <x:c r="C14" s="2" t="s">
        <x:v>142</x:v>
      </x:c>
      <x:c r="D14" s="2" t="s">
        <x:v>136</x:v>
      </x:c>
      <x:c r="E14" s="2" t="s">
        <x:v>143</x:v>
      </x:c>
      <x:c r="F14" s="2" t="s">
        <x:v>76</x:v>
      </x:c>
      <x:c r="G14" s="2" t="s">
        <x:v>144</x:v>
      </x:c>
      <x:c r="H14" s="2" t="s">
        <x:v>75</x:v>
      </x:c>
      <x:c r="I14" s="2" t="s">
        <x:v>145</x:v>
      </x:c>
    </x:row>
    <x:row r="15" ht="37.95000076293945" customHeight="1">
      <x:c r="A15" s="2">
        <x:v>1</x:v>
      </x:c>
      <x:c r="B15" s="2" t="s">
        <x:v>12</x:v>
      </x:c>
      <x:c r="C15" s="2" t="s">
        <x:v>146</x:v>
      </x:c>
      <x:c r="D15" s="2" t="s">
        <x:v>136</x:v>
      </x:c>
      <x:c r="E15" s="2" t="s">
        <x:v>147</x:v>
      </x:c>
      <x:c r="F15" s="2" t="str">
        <x:v>NEEDS IMPROVEMENT</x:v>
      </x:c>
      <x:c r="G15" s="2" t="str">
        <x:v>The article would benefit from qualifying supplier-dependent cost premiums and minimum-order quantities; no material contradiction is established.</x:v>
      </x:c>
      <x:c r="H15" s="2" t="str">
        <x:v>MY-B01-02</x:v>
      </x:c>
      <x:c r="I15" s="2" t="str">
        <x:v>L264–265; L309–313 · https://print247.us/post/custom-retail-boxes-vs-stock-boxes-which-one-is-better</x:v>
      </x:c>
    </x:row>
    <x:row r="16" ht="37.95000076293945" customHeight="1">
      <x:c r="A16" s="2">
        <x:v>1</x:v>
      </x:c>
      <x:c r="B16" s="2" t="s">
        <x:v>12</x:v>
      </x:c>
      <x:c r="C16" s="2" t="s">
        <x:v>148</x:v>
      </x:c>
      <x:c r="D16" s="2" t="s">
        <x:v>136</x:v>
      </x:c>
      <x:c r="E16" s="2" t="s">
        <x:v>149</x:v>
      </x:c>
      <x:c r="F16" s="2" t="str">
        <x:v>PASS</x:v>
      </x:c>
      <x:c r="G16" s="2" t="str">
        <x:v>The article explains relevant stock/custom trade-offs and reflects workable understanding of product fit and purchasing contexts.</x:v>
      </x:c>
      <x:c r="H16" s="2"/>
      <x:c r="I16" s="2" t="str">
        <x:v>https://print247.us/post/custom-retail-boxes-vs-stock-boxes-which-one-is-better</x:v>
      </x:c>
    </x:row>
    <x:row r="17" ht="37.95000076293945" customHeight="1">
      <x:c r="A17" s="2">
        <x:v>1</x:v>
      </x:c>
      <x:c r="B17" s="2" t="s">
        <x:v>12</x:v>
      </x:c>
      <x:c r="C17" s="2" t="s">
        <x:v>150</x:v>
      </x:c>
      <x:c r="D17" s="2" t="s">
        <x:v>136</x:v>
      </x:c>
      <x:c r="E17" s="2" t="s">
        <x:v>151</x:v>
      </x:c>
      <x:c r="F17" s="2" t="s">
        <x:v>117</x:v>
      </x:c>
      <x:c r="G17" s="2" t="s">
        <x:v>152</x:v>
      </x:c>
      <x:c r="H17" s="2"/>
      <x:c r="I17" s="2" t="s">
        <x:v>22</x:v>
      </x:c>
    </x:row>
    <x:row r="18" ht="37.95000076293945" customHeight="1">
      <x:c r="A18" s="2">
        <x:v>1</x:v>
      </x:c>
      <x:c r="B18" s="2" t="s">
        <x:v>12</x:v>
      </x:c>
      <x:c r="C18" s="2" t="s">
        <x:v>153</x:v>
      </x:c>
      <x:c r="D18" s="2" t="s">
        <x:v>154</x:v>
      </x:c>
      <x:c r="E18" s="2" t="s">
        <x:v>155</x:v>
      </x:c>
      <x:c r="F18" s="2" t="s">
        <x:v>117</x:v>
      </x:c>
      <x:c r="G18" s="2" t="s">
        <x:v>156</x:v>
      </x:c>
      <x:c r="H18" s="2"/>
      <x:c r="I18" s="2" t="s">
        <x:v>22</x:v>
      </x:c>
    </x:row>
    <x:row r="19" ht="37.95000076293945" customHeight="1">
      <x:c r="A19" s="2">
        <x:v>1</x:v>
      </x:c>
      <x:c r="B19" s="2" t="s">
        <x:v>12</x:v>
      </x:c>
      <x:c r="C19" s="2" t="s">
        <x:v>157</x:v>
      </x:c>
      <x:c r="D19" s="2" t="s">
        <x:v>154</x:v>
      </x:c>
      <x:c r="E19" s="2" t="s">
        <x:v>158</x:v>
      </x:c>
      <x:c r="F19" s="2" t="s">
        <x:v>117</x:v>
      </x:c>
      <x:c r="G19" s="2" t="s">
        <x:v>159</x:v>
      </x:c>
      <x:c r="H19" s="2"/>
      <x:c r="I19" s="2" t="s">
        <x:v>22</x:v>
      </x:c>
    </x:row>
    <x:row r="20" ht="37.95000076293945" customHeight="1">
      <x:c r="A20" s="2">
        <x:v>1</x:v>
      </x:c>
      <x:c r="B20" s="2" t="s">
        <x:v>12</x:v>
      </x:c>
      <x:c r="C20" s="2" t="s">
        <x:v>160</x:v>
      </x:c>
      <x:c r="D20" s="2" t="s">
        <x:v>154</x:v>
      </x:c>
      <x:c r="E20" s="2" t="s">
        <x:v>161</x:v>
      </x:c>
      <x:c r="F20" s="2" t="s">
        <x:v>117</x:v>
      </x:c>
      <x:c r="G20" s="2" t="s">
        <x:v>162</x:v>
      </x:c>
      <x:c r="H20" s="2"/>
      <x:c r="I20" s="2" t="s">
        <x:v>22</x:v>
      </x:c>
    </x:row>
    <x:row r="21" ht="37.95000076293945" customHeight="1">
      <x:c r="A21" s="2">
        <x:v>1</x:v>
      </x:c>
      <x:c r="B21" s="2" t="s">
        <x:v>12</x:v>
      </x:c>
      <x:c r="C21" s="2" t="s">
        <x:v>163</x:v>
      </x:c>
      <x:c r="D21" s="2" t="s">
        <x:v>154</x:v>
      </x:c>
      <x:c r="E21" s="2" t="s">
        <x:v>164</x:v>
      </x:c>
      <x:c r="F21" s="2" t="s">
        <x:v>117</x:v>
      </x:c>
      <x:c r="G21" s="2" t="s">
        <x:v>165</x:v>
      </x:c>
      <x:c r="H21" s="2"/>
      <x:c r="I21" s="2" t="s">
        <x:v>22</x:v>
      </x:c>
    </x:row>
    <x:row r="22" ht="37.95000076293945" customHeight="1">
      <x:c r="A22" s="2">
        <x:v>1</x:v>
      </x:c>
      <x:c r="B22" s="2" t="s">
        <x:v>12</x:v>
      </x:c>
      <x:c r="C22" s="2" t="s">
        <x:v>166</x:v>
      </x:c>
      <x:c r="D22" s="2" t="s">
        <x:v>154</x:v>
      </x:c>
      <x:c r="E22" s="2" t="s">
        <x:v>167</x:v>
      </x:c>
      <x:c r="F22" s="2" t="s">
        <x:v>117</x:v>
      </x:c>
      <x:c r="G22" s="2" t="s">
        <x:v>168</x:v>
      </x:c>
      <x:c r="H22" s="2"/>
      <x:c r="I22" s="2" t="s">
        <x:v>22</x:v>
      </x:c>
    </x:row>
    <x:row r="23" ht="37.95000076293945" customHeight="1">
      <x:c r="A23" s="2">
        <x:v>1</x:v>
      </x:c>
      <x:c r="B23" s="2" t="s">
        <x:v>12</x:v>
      </x:c>
      <x:c r="C23" s="2" t="s">
        <x:v>169</x:v>
      </x:c>
      <x:c r="D23" s="2" t="s">
        <x:v>154</x:v>
      </x:c>
      <x:c r="E23" s="2" t="s">
        <x:v>170</x:v>
      </x:c>
      <x:c r="F23" s="2" t="s">
        <x:v>124</x:v>
      </x:c>
      <x:c r="G23" s="2" t="s">
        <x:v>171</x:v>
      </x:c>
      <x:c r="H23" s="2"/>
      <x:c r="I23" s="2" t="s">
        <x:v>22</x:v>
      </x:c>
    </x:row>
    <x:row r="24" ht="37.95000076293945" customHeight="1">
      <x:c r="A24" s="2">
        <x:v>1</x:v>
      </x:c>
      <x:c r="B24" s="2" t="s">
        <x:v>12</x:v>
      </x:c>
      <x:c r="C24" s="2" t="s">
        <x:v>172</x:v>
      </x:c>
      <x:c r="D24" s="2" t="s">
        <x:v>173</x:v>
      </x:c>
      <x:c r="E24" s="2" t="s">
        <x:v>174</x:v>
      </x:c>
      <x:c r="F24" s="2" t="s">
        <x:v>117</x:v>
      </x:c>
      <x:c r="G24" s="2" t="s">
        <x:v>175</x:v>
      </x:c>
      <x:c r="H24" s="2"/>
      <x:c r="I24" s="2" t="s">
        <x:v>22</x:v>
      </x:c>
    </x:row>
    <x:row r="25" ht="37.95000076293945" customHeight="1">
      <x:c r="A25" s="2">
        <x:v>1</x:v>
      </x:c>
      <x:c r="B25" s="2" t="s">
        <x:v>12</x:v>
      </x:c>
      <x:c r="C25" s="2" t="s">
        <x:v>176</x:v>
      </x:c>
      <x:c r="D25" s="2" t="s">
        <x:v>173</x:v>
      </x:c>
      <x:c r="E25" s="2" t="s">
        <x:v>177</x:v>
      </x:c>
      <x:c r="F25" s="2" t="s">
        <x:v>117</x:v>
      </x:c>
      <x:c r="G25" s="2" t="s">
        <x:v>178</x:v>
      </x:c>
      <x:c r="H25" s="2"/>
      <x:c r="I25" s="2" t="s">
        <x:v>22</x:v>
      </x:c>
    </x:row>
    <x:row r="26" ht="37.95000076293945" customHeight="1">
      <x:c r="A26" s="2">
        <x:v>1</x:v>
      </x:c>
      <x:c r="B26" s="2" t="s">
        <x:v>12</x:v>
      </x:c>
      <x:c r="C26" s="2" t="s">
        <x:v>179</x:v>
      </x:c>
      <x:c r="D26" s="2" t="s">
        <x:v>173</x:v>
      </x:c>
      <x:c r="E26" s="2" t="s">
        <x:v>180</x:v>
      </x:c>
      <x:c r="F26" s="2" t="s">
        <x:v>117</x:v>
      </x:c>
      <x:c r="G26" s="2" t="s">
        <x:v>181</x:v>
      </x:c>
      <x:c r="H26" s="2"/>
      <x:c r="I26" s="2" t="s">
        <x:v>22</x:v>
      </x:c>
    </x:row>
    <x:row r="27" ht="37.95000076293945" customHeight="1">
      <x:c r="A27" s="2">
        <x:v>1</x:v>
      </x:c>
      <x:c r="B27" s="2" t="s">
        <x:v>12</x:v>
      </x:c>
      <x:c r="C27" s="2" t="s">
        <x:v>182</x:v>
      </x:c>
      <x:c r="D27" s="2" t="s">
        <x:v>173</x:v>
      </x:c>
      <x:c r="E27" s="2" t="s">
        <x:v>183</x:v>
      </x:c>
      <x:c r="F27" s="2" t="str">
        <x:v>PASS</x:v>
      </x:c>
      <x:c r="G27" s="2" t="str">
        <x:v>The discussion provides useful fit and protection considerations without an obligatory technical guarantee.</x:v>
      </x:c>
      <x:c r="H27" s="2"/>
      <x:c r="I27" s="2" t="str">
        <x:v>https://print247.us/post/custom-retail-boxes-vs-stock-boxes-which-one-is-better</x:v>
      </x:c>
    </x:row>
    <x:row r="28" ht="37.95000076293945" customHeight="1">
      <x:c r="A28" s="2">
        <x:v>1</x:v>
      </x:c>
      <x:c r="B28" s="2" t="s">
        <x:v>12</x:v>
      </x:c>
      <x:c r="C28" s="2" t="s">
        <x:v>184</x:v>
      </x:c>
      <x:c r="D28" s="2" t="s">
        <x:v>173</x:v>
      </x:c>
      <x:c r="E28" s="2" t="s">
        <x:v>185</x:v>
      </x:c>
      <x:c r="F28" s="2" t="s">
        <x:v>76</x:v>
      </x:c>
      <x:c r="G28" s="2" t="s">
        <x:v>144</x:v>
      </x:c>
      <x:c r="H28" s="2" t="s">
        <x:v>75</x:v>
      </x:c>
      <x:c r="I28" s="2" t="s">
        <x:v>145</x:v>
      </x:c>
    </x:row>
    <x:row r="29" ht="37.95000076293945" customHeight="1">
      <x:c r="A29" s="2">
        <x:v>1</x:v>
      </x:c>
      <x:c r="B29" s="2" t="s">
        <x:v>12</x:v>
      </x:c>
      <x:c r="C29" s="2" t="s">
        <x:v>186</x:v>
      </x:c>
      <x:c r="D29" s="2" t="s">
        <x:v>173</x:v>
      </x:c>
      <x:c r="E29" s="2" t="s">
        <x:v>187</x:v>
      </x:c>
      <x:c r="F29" s="2" t="s">
        <x:v>188</x:v>
      </x:c>
      <x:c r="G29" s="2" t="s">
        <x:v>189</x:v>
      </x:c>
      <x:c r="H29" s="2"/>
      <x:c r="I29" s="2" t="s">
        <x:v>22</x:v>
      </x:c>
    </x:row>
    <x:row r="30" ht="37.95000076293945" customHeight="1">
      <x:c r="A30" s="2">
        <x:v>1</x:v>
      </x:c>
      <x:c r="B30" s="2" t="s">
        <x:v>12</x:v>
      </x:c>
      <x:c r="C30" s="2" t="s">
        <x:v>190</x:v>
      </x:c>
      <x:c r="D30" s="2" t="s">
        <x:v>191</x:v>
      </x:c>
      <x:c r="E30" s="2" t="s">
        <x:v>192</x:v>
      </x:c>
      <x:c r="F30" s="2" t="s">
        <x:v>124</x:v>
      </x:c>
      <x:c r="G30" s="2" t="s">
        <x:v>193</x:v>
      </x:c>
      <x:c r="H30" s="2"/>
      <x:c r="I30" s="2" t="s">
        <x:v>22</x:v>
      </x:c>
    </x:row>
    <x:row r="31" ht="37.95000076293945" customHeight="1">
      <x:c r="A31" s="2">
        <x:v>1</x:v>
      </x:c>
      <x:c r="B31" s="2" t="s">
        <x:v>12</x:v>
      </x:c>
      <x:c r="C31" s="2" t="s">
        <x:v>194</x:v>
      </x:c>
      <x:c r="D31" s="2" t="s">
        <x:v>191</x:v>
      </x:c>
      <x:c r="E31" s="2" t="s">
        <x:v>195</x:v>
      </x:c>
      <x:c r="F31" s="2" t="s">
        <x:v>117</x:v>
      </x:c>
      <x:c r="G31" s="2" t="s">
        <x:v>196</x:v>
      </x:c>
      <x:c r="H31" s="2"/>
      <x:c r="I31" s="2" t="s">
        <x:v>22</x:v>
      </x:c>
    </x:row>
    <x:row r="32" ht="37.95000076293945" customHeight="1">
      <x:c r="A32" s="2">
        <x:v>1</x:v>
      </x:c>
      <x:c r="B32" s="2" t="s">
        <x:v>12</x:v>
      </x:c>
      <x:c r="C32" s="2" t="s">
        <x:v>197</x:v>
      </x:c>
      <x:c r="D32" s="2" t="s">
        <x:v>191</x:v>
      </x:c>
      <x:c r="E32" s="2" t="s">
        <x:v>198</x:v>
      </x:c>
      <x:c r="F32" s="2" t="s">
        <x:v>117</x:v>
      </x:c>
      <x:c r="G32" s="2" t="s">
        <x:v>199</x:v>
      </x:c>
      <x:c r="H32" s="2"/>
      <x:c r="I32" s="2" t="s">
        <x:v>22</x:v>
      </x:c>
    </x:row>
    <x:row r="33" ht="37.95000076293945" customHeight="1">
      <x:c r="A33" s="2">
        <x:v>1</x:v>
      </x:c>
      <x:c r="B33" s="2" t="s">
        <x:v>12</x:v>
      </x:c>
      <x:c r="C33" s="2" t="s">
        <x:v>200</x:v>
      </x:c>
      <x:c r="D33" s="2" t="s">
        <x:v>191</x:v>
      </x:c>
      <x:c r="E33" s="2" t="s">
        <x:v>201</x:v>
      </x:c>
      <x:c r="F33" s="2" t="s">
        <x:v>117</x:v>
      </x:c>
      <x:c r="G33" s="2" t="s">
        <x:v>202</x:v>
      </x:c>
      <x:c r="H33" s="2"/>
      <x:c r="I33" s="2" t="s">
        <x:v>22</x:v>
      </x:c>
    </x:row>
    <x:row r="34" ht="37.95000076293945" customHeight="1">
      <x:c r="A34" s="2">
        <x:v>1</x:v>
      </x:c>
      <x:c r="B34" s="2" t="s">
        <x:v>12</x:v>
      </x:c>
      <x:c r="C34" s="2" t="s">
        <x:v>203</x:v>
      </x:c>
      <x:c r="D34" s="2" t="s">
        <x:v>191</x:v>
      </x:c>
      <x:c r="E34" s="2" t="s">
        <x:v>204</x:v>
      </x:c>
      <x:c r="F34" s="2" t="s">
        <x:v>117</x:v>
      </x:c>
      <x:c r="G34" s="2" t="s">
        <x:v>205</x:v>
      </x:c>
      <x:c r="H34" s="2"/>
      <x:c r="I34" s="2" t="s">
        <x:v>22</x:v>
      </x:c>
    </x:row>
    <x:row r="35" ht="37.95000076293945" customHeight="1">
      <x:c r="A35" s="2">
        <x:v>1</x:v>
      </x:c>
      <x:c r="B35" s="2" t="s">
        <x:v>12</x:v>
      </x:c>
      <x:c r="C35" s="2" t="s">
        <x:v>206</x:v>
      </x:c>
      <x:c r="D35" s="2" t="s">
        <x:v>191</x:v>
      </x:c>
      <x:c r="E35" s="2" t="s">
        <x:v>207</x:v>
      </x:c>
      <x:c r="F35" s="2" t="s">
        <x:v>117</x:v>
      </x:c>
      <x:c r="G35" s="2" t="s">
        <x:v>208</x:v>
      </x:c>
      <x:c r="H35" s="2"/>
      <x:c r="I35" s="2" t="s">
        <x:v>22</x:v>
      </x:c>
    </x:row>
    <x:row r="36" ht="37.95000076293945" customHeight="1">
      <x:c r="A36" s="2">
        <x:v>1</x:v>
      </x:c>
      <x:c r="B36" s="2" t="s">
        <x:v>12</x:v>
      </x:c>
      <x:c r="C36" s="2" t="s">
        <x:v>209</x:v>
      </x:c>
      <x:c r="D36" s="2" t="s">
        <x:v>210</x:v>
      </x:c>
      <x:c r="E36" s="2" t="s">
        <x:v>211</x:v>
      </x:c>
      <x:c r="F36" s="2" t="s">
        <x:v>117</x:v>
      </x:c>
      <x:c r="G36" s="2" t="s">
        <x:v>212</x:v>
      </x:c>
      <x:c r="H36" s="2"/>
      <x:c r="I36" s="2" t="s">
        <x:v>22</x:v>
      </x:c>
    </x:row>
    <x:row r="37" ht="37.95000076293945" customHeight="1">
      <x:c r="A37" s="2">
        <x:v>1</x:v>
      </x:c>
      <x:c r="B37" s="2" t="s">
        <x:v>12</x:v>
      </x:c>
      <x:c r="C37" s="2" t="s">
        <x:v>213</x:v>
      </x:c>
      <x:c r="D37" s="2" t="s">
        <x:v>210</x:v>
      </x:c>
      <x:c r="E37" s="2" t="s">
        <x:v>214</x:v>
      </x:c>
      <x:c r="F37" s="2" t="s">
        <x:v>117</x:v>
      </x:c>
      <x:c r="G37" s="2" t="s">
        <x:v>215</x:v>
      </x:c>
      <x:c r="H37" s="2"/>
      <x:c r="I37" s="2" t="s">
        <x:v>22</x:v>
      </x:c>
    </x:row>
    <x:row r="38" ht="37.95000076293945" customHeight="1">
      <x:c r="A38" s="2">
        <x:v>1</x:v>
      </x:c>
      <x:c r="B38" s="2" t="s">
        <x:v>12</x:v>
      </x:c>
      <x:c r="C38" s="2" t="s">
        <x:v>216</x:v>
      </x:c>
      <x:c r="D38" s="2" t="s">
        <x:v>210</x:v>
      </x:c>
      <x:c r="E38" s="2" t="s">
        <x:v>217</x:v>
      </x:c>
      <x:c r="F38" s="2" t="s">
        <x:v>117</x:v>
      </x:c>
      <x:c r="G38" s="2" t="s">
        <x:v>218</x:v>
      </x:c>
      <x:c r="H38" s="2"/>
      <x:c r="I38" s="2" t="s">
        <x:v>22</x:v>
      </x:c>
    </x:row>
    <x:row r="39" ht="37.95000076293945" customHeight="1">
      <x:c r="A39" s="2">
        <x:v>1</x:v>
      </x:c>
      <x:c r="B39" s="2" t="s">
        <x:v>12</x:v>
      </x:c>
      <x:c r="C39" s="2" t="s">
        <x:v>219</x:v>
      </x:c>
      <x:c r="D39" s="2" t="s">
        <x:v>210</x:v>
      </x:c>
      <x:c r="E39" s="2" t="s">
        <x:v>220</x:v>
      </x:c>
      <x:c r="F39" s="2" t="s">
        <x:v>117</x:v>
      </x:c>
      <x:c r="G39" s="2" t="s">
        <x:v>221</x:v>
      </x:c>
      <x:c r="H39" s="2"/>
      <x:c r="I39" s="2" t="s">
        <x:v>22</x:v>
      </x:c>
    </x:row>
    <x:row r="40" ht="37.95000076293945" customHeight="1">
      <x:c r="A40" s="2">
        <x:v>1</x:v>
      </x:c>
      <x:c r="B40" s="2" t="s">
        <x:v>12</x:v>
      </x:c>
      <x:c r="C40" s="2" t="s">
        <x:v>222</x:v>
      </x:c>
      <x:c r="D40" s="2" t="s">
        <x:v>210</x:v>
      </x:c>
      <x:c r="E40" s="2" t="s">
        <x:v>223</x:v>
      </x:c>
      <x:c r="F40" s="2" t="s">
        <x:v>117</x:v>
      </x:c>
      <x:c r="G40" s="2" t="s">
        <x:v>224</x:v>
      </x:c>
      <x:c r="H40" s="2"/>
      <x:c r="I40" s="2" t="s">
        <x:v>22</x:v>
      </x:c>
    </x:row>
    <x:row r="41" ht="37.95000076293945" customHeight="1">
      <x:c r="A41" s="2">
        <x:v>1</x:v>
      </x:c>
      <x:c r="B41" s="2" t="s">
        <x:v>12</x:v>
      </x:c>
      <x:c r="C41" s="2" t="s">
        <x:v>225</x:v>
      </x:c>
      <x:c r="D41" s="2" t="s">
        <x:v>226</x:v>
      </x:c>
      <x:c r="E41" s="2" t="s">
        <x:v>227</x:v>
      </x:c>
      <x:c r="F41" s="2" t="s">
        <x:v>117</x:v>
      </x:c>
      <x:c r="G41" s="2" t="s">
        <x:v>228</x:v>
      </x:c>
      <x:c r="H41" s="2"/>
      <x:c r="I41" s="2" t="s">
        <x:v>22</x:v>
      </x:c>
    </x:row>
    <x:row r="42" ht="37.95000076293945" customHeight="1">
      <x:c r="A42" s="2">
        <x:v>1</x:v>
      </x:c>
      <x:c r="B42" s="2" t="s">
        <x:v>12</x:v>
      </x:c>
      <x:c r="C42" s="2" t="s">
        <x:v>229</x:v>
      </x:c>
      <x:c r="D42" s="2" t="s">
        <x:v>226</x:v>
      </x:c>
      <x:c r="E42" s="2" t="s">
        <x:v>230</x:v>
      </x:c>
      <x:c r="F42" s="2" t="s">
        <x:v>117</x:v>
      </x:c>
      <x:c r="G42" s="2" t="s">
        <x:v>231</x:v>
      </x:c>
      <x:c r="H42" s="2"/>
      <x:c r="I42" s="2" t="s">
        <x:v>22</x:v>
      </x:c>
    </x:row>
    <x:row r="43" ht="37.95000076293945" customHeight="1">
      <x:c r="A43" s="2">
        <x:v>1</x:v>
      </x:c>
      <x:c r="B43" s="2" t="s">
        <x:v>12</x:v>
      </x:c>
      <x:c r="C43" s="2" t="s">
        <x:v>232</x:v>
      </x:c>
      <x:c r="D43" s="2" t="s">
        <x:v>226</x:v>
      </x:c>
      <x:c r="E43" s="2" t="s">
        <x:v>233</x:v>
      </x:c>
      <x:c r="F43" s="2" t="s">
        <x:v>76</x:v>
      </x:c>
      <x:c r="G43" s="2" t="s">
        <x:v>144</x:v>
      </x:c>
      <x:c r="H43" s="2" t="s">
        <x:v>75</x:v>
      </x:c>
      <x:c r="I43" s="2" t="s">
        <x:v>145</x:v>
      </x:c>
    </x:row>
    <x:row r="44" ht="37.95000076293945" customHeight="1">
      <x:c r="A44" s="2">
        <x:v>1</x:v>
      </x:c>
      <x:c r="B44" s="2" t="s">
        <x:v>12</x:v>
      </x:c>
      <x:c r="C44" s="2" t="s">
        <x:v>234</x:v>
      </x:c>
      <x:c r="D44" s="2" t="s">
        <x:v>226</x:v>
      </x:c>
      <x:c r="E44" s="2" t="s">
        <x:v>235</x:v>
      </x:c>
      <x:c r="F44" s="2" t="str">
        <x:v>PASS</x:v>
      </x:c>
      <x:c r="G44" s="2" t="str">
        <x:v>The buyer comparison is useful for evaluating stock versus tailored packaging in practical applications.</x:v>
      </x:c>
      <x:c r="H44" s="2"/>
      <x:c r="I44" s="2" t="str">
        <x:v>https://print247.us/post/custom-retail-boxes-vs-stock-boxes-which-one-is-better</x:v>
      </x:c>
    </x:row>
    <x:row r="45" ht="37.95000076293945" customHeight="1">
      <x:c r="A45" s="2">
        <x:v>1</x:v>
      </x:c>
      <x:c r="B45" s="2" t="s">
        <x:v>12</x:v>
      </x:c>
      <x:c r="C45" s="2" t="s">
        <x:v>236</x:v>
      </x:c>
      <x:c r="D45" s="2" t="s">
        <x:v>226</x:v>
      </x:c>
      <x:c r="E45" s="2" t="s">
        <x:v>237</x:v>
      </x:c>
      <x:c r="F45" s="2" t="s">
        <x:v>117</x:v>
      </x:c>
      <x:c r="G45" s="2" t="s">
        <x:v>238</x:v>
      </x:c>
      <x:c r="H45" s="2"/>
      <x:c r="I45" s="2" t="s">
        <x:v>22</x:v>
      </x:c>
    </x:row>
    <x:row r="46" ht="37.95000076293945" customHeight="1">
      <x:c r="A46" s="2">
        <x:v>1</x:v>
      </x:c>
      <x:c r="B46" s="2" t="s">
        <x:v>12</x:v>
      </x:c>
      <x:c r="C46" s="2" t="s">
        <x:v>239</x:v>
      </x:c>
      <x:c r="D46" s="2" t="s">
        <x:v>226</x:v>
      </x:c>
      <x:c r="E46" s="2" t="s">
        <x:v>240</x:v>
      </x:c>
      <x:c r="F46" s="2" t="s">
        <x:v>117</x:v>
      </x:c>
      <x:c r="G46" s="2" t="s">
        <x:v>241</x:v>
      </x:c>
      <x:c r="H46" s="2"/>
      <x:c r="I46" s="2" t="s">
        <x:v>22</x:v>
      </x:c>
    </x:row>
    <x:row r="47" ht="37.95000076293945" customHeight="1">
      <x:c r="A47" s="2">
        <x:v>1</x:v>
      </x:c>
      <x:c r="B47" s="2" t="s">
        <x:v>12</x:v>
      </x:c>
      <x:c r="C47" s="2" t="s">
        <x:v>242</x:v>
      </x:c>
      <x:c r="D47" s="2" t="s">
        <x:v>243</x:v>
      </x:c>
      <x:c r="E47" s="2" t="s">
        <x:v>244</x:v>
      </x:c>
      <x:c r="F47" s="2" t="s">
        <x:v>117</x:v>
      </x:c>
      <x:c r="G47" s="2" t="s">
        <x:v>245</x:v>
      </x:c>
      <x:c r="H47" s="2"/>
      <x:c r="I47" s="2" t="s">
        <x:v>22</x:v>
      </x:c>
    </x:row>
    <x:row r="48" ht="37.95000076293945" customHeight="1">
      <x:c r="A48" s="2">
        <x:v>1</x:v>
      </x:c>
      <x:c r="B48" s="2" t="s">
        <x:v>12</x:v>
      </x:c>
      <x:c r="C48" s="2" t="s">
        <x:v>246</x:v>
      </x:c>
      <x:c r="D48" s="2" t="s">
        <x:v>243</x:v>
      </x:c>
      <x:c r="E48" s="2" t="s">
        <x:v>247</x:v>
      </x:c>
      <x:c r="F48" s="2" t="s">
        <x:v>117</x:v>
      </x:c>
      <x:c r="G48" s="2" t="s">
        <x:v>248</x:v>
      </x:c>
      <x:c r="H48" s="2"/>
      <x:c r="I48" s="2" t="s">
        <x:v>22</x:v>
      </x:c>
    </x:row>
    <x:row r="49" ht="37.95000076293945" customHeight="1">
      <x:c r="A49" s="2">
        <x:v>1</x:v>
      </x:c>
      <x:c r="B49" s="2" t="s">
        <x:v>12</x:v>
      </x:c>
      <x:c r="C49" s="2" t="s">
        <x:v>249</x:v>
      </x:c>
      <x:c r="D49" s="2" t="s">
        <x:v>243</x:v>
      </x:c>
      <x:c r="E49" s="2" t="s">
        <x:v>250</x:v>
      </x:c>
      <x:c r="F49" s="2" t="s">
        <x:v>117</x:v>
      </x:c>
      <x:c r="G49" s="2" t="s">
        <x:v>251</x:v>
      </x:c>
      <x:c r="H49" s="2"/>
      <x:c r="I49" s="2" t="s">
        <x:v>22</x:v>
      </x:c>
    </x:row>
    <x:row r="50" ht="37.95000076293945" customHeight="1">
      <x:c r="A50" s="2">
        <x:v>1</x:v>
      </x:c>
      <x:c r="B50" s="2" t="s">
        <x:v>12</x:v>
      </x:c>
      <x:c r="C50" s="2" t="s">
        <x:v>252</x:v>
      </x:c>
      <x:c r="D50" s="2" t="s">
        <x:v>243</x:v>
      </x:c>
      <x:c r="E50" s="2" t="s">
        <x:v>253</x:v>
      </x:c>
      <x:c r="F50" s="2" t="s">
        <x:v>188</x:v>
      </x:c>
      <x:c r="G50" s="2" t="s">
        <x:v>254</x:v>
      </x:c>
      <x:c r="H50" s="2"/>
      <x:c r="I50" s="2" t="s">
        <x:v>22</x:v>
      </x:c>
    </x:row>
    <x:row r="51" ht="37.95000076293945" customHeight="1">
      <x:c r="A51" s="2">
        <x:v>1</x:v>
      </x:c>
      <x:c r="B51" s="2" t="s">
        <x:v>12</x:v>
      </x:c>
      <x:c r="C51" s="2" t="s">
        <x:v>255</x:v>
      </x:c>
      <x:c r="D51" s="2" t="s">
        <x:v>243</x:v>
      </x:c>
      <x:c r="E51" s="2" t="s">
        <x:v>256</x:v>
      </x:c>
      <x:c r="F51" s="2" t="s">
        <x:v>188</x:v>
      </x:c>
      <x:c r="G51" s="2" t="s">
        <x:v>257</x:v>
      </x:c>
      <x:c r="H51" s="2"/>
      <x:c r="I51" s="2" t="s">
        <x:v>22</x:v>
      </x:c>
    </x:row>
    <x:row r="52" ht="37.95000076293945" customHeight="1">
      <x:c r="A52" s="2">
        <x:v>1</x:v>
      </x:c>
      <x:c r="B52" s="2" t="s">
        <x:v>12</x:v>
      </x:c>
      <x:c r="C52" s="2" t="s">
        <x:v>258</x:v>
      </x:c>
      <x:c r="D52" s="2" t="s">
        <x:v>259</x:v>
      </x:c>
      <x:c r="E52" s="2" t="s">
        <x:v>260</x:v>
      </x:c>
      <x:c r="F52" s="2" t="s">
        <x:v>124</x:v>
      </x:c>
      <x:c r="G52" s="2" t="s">
        <x:v>261</x:v>
      </x:c>
      <x:c r="H52" s="2"/>
      <x:c r="I52" s="2" t="s">
        <x:v>22</x:v>
      </x:c>
    </x:row>
    <x:row r="53" ht="37.95000076293945" customHeight="1">
      <x:c r="A53" s="2">
        <x:v>1</x:v>
      </x:c>
      <x:c r="B53" s="2" t="s">
        <x:v>12</x:v>
      </x:c>
      <x:c r="C53" s="2" t="s">
        <x:v>262</x:v>
      </x:c>
      <x:c r="D53" s="2" t="s">
        <x:v>259</x:v>
      </x:c>
      <x:c r="E53" s="2" t="s">
        <x:v>263</x:v>
      </x:c>
      <x:c r="F53" s="2" t="s">
        <x:v>117</x:v>
      </x:c>
      <x:c r="G53" s="2" t="s">
        <x:v>264</x:v>
      </x:c>
      <x:c r="H53" s="2"/>
      <x:c r="I53" s="2" t="s">
        <x:v>22</x:v>
      </x:c>
    </x:row>
    <x:row r="54" ht="37.95000076293945" customHeight="1">
      <x:c r="A54" s="2">
        <x:v>1</x:v>
      </x:c>
      <x:c r="B54" s="2" t="s">
        <x:v>12</x:v>
      </x:c>
      <x:c r="C54" s="2" t="s">
        <x:v>265</x:v>
      </x:c>
      <x:c r="D54" s="2" t="s">
        <x:v>259</x:v>
      </x:c>
      <x:c r="E54" s="2" t="s">
        <x:v>266</x:v>
      </x:c>
      <x:c r="F54" s="2" t="s">
        <x:v>124</x:v>
      </x:c>
      <x:c r="G54" s="2" t="s">
        <x:v>267</x:v>
      </x:c>
      <x:c r="H54" s="2"/>
      <x:c r="I54" s="2" t="s">
        <x:v>22</x:v>
      </x:c>
    </x:row>
    <x:row r="55" ht="37.95000076293945" customHeight="1">
      <x:c r="A55" s="2">
        <x:v>1</x:v>
      </x:c>
      <x:c r="B55" s="2" t="s">
        <x:v>12</x:v>
      </x:c>
      <x:c r="C55" s="2" t="s">
        <x:v>268</x:v>
      </x:c>
      <x:c r="D55" s="2" t="s">
        <x:v>259</x:v>
      </x:c>
      <x:c r="E55" s="2" t="s">
        <x:v>269</x:v>
      </x:c>
      <x:c r="F55" s="2" t="s">
        <x:v>124</x:v>
      </x:c>
      <x:c r="G55" s="2" t="s">
        <x:v>270</x:v>
      </x:c>
      <x:c r="H55" s="2"/>
      <x:c r="I55" s="2" t="s">
        <x:v>22</x:v>
      </x:c>
    </x:row>
    <x:row r="56" ht="37.95000076293945" customHeight="1">
      <x:c r="A56" s="2">
        <x:v>1</x:v>
      </x:c>
      <x:c r="B56" s="2" t="s">
        <x:v>12</x:v>
      </x:c>
      <x:c r="C56" s="2" t="s">
        <x:v>271</x:v>
      </x:c>
      <x:c r="D56" s="2" t="s">
        <x:v>259</x:v>
      </x:c>
      <x:c r="E56" s="2" t="s">
        <x:v>272</x:v>
      </x:c>
      <x:c r="F56" s="2" t="s">
        <x:v>124</x:v>
      </x:c>
      <x:c r="G56" s="2" t="s">
        <x:v>273</x:v>
      </x:c>
      <x:c r="H56" s="2"/>
      <x:c r="I56" s="2" t="s">
        <x:v>22</x:v>
      </x:c>
    </x:row>
    <x:row r="57" ht="37.95000076293945" customHeight="1">
      <x:c r="A57" s="2">
        <x:v>1</x:v>
      </x:c>
      <x:c r="B57" s="2" t="s">
        <x:v>12</x:v>
      </x:c>
      <x:c r="C57" s="2" t="s">
        <x:v>274</x:v>
      </x:c>
      <x:c r="D57" s="2" t="s">
        <x:v>259</x:v>
      </x:c>
      <x:c r="E57" s="2" t="s">
        <x:v>275</x:v>
      </x:c>
      <x:c r="F57" s="2" t="s">
        <x:v>124</x:v>
      </x:c>
      <x:c r="G57" s="2" t="s">
        <x:v>276</x:v>
      </x:c>
      <x:c r="H57" s="2"/>
      <x:c r="I57" s="2" t="s">
        <x:v>22</x:v>
      </x:c>
    </x:row>
    <x:row r="58" ht="37.95000076293945" customHeight="1">
      <x:c r="A58" s="2">
        <x:v>2</x:v>
      </x:c>
      <x:c r="B58" s="2" t="s">
        <x:v>13</x:v>
      </x:c>
      <x:c r="C58" s="2" t="s">
        <x:v>114</x:v>
      </x:c>
      <x:c r="D58" s="2" t="s">
        <x:v>115</x:v>
      </x:c>
      <x:c r="E58" s="2" t="s">
        <x:v>116</x:v>
      </x:c>
      <x:c r="F58" s="2" t="s">
        <x:v>117</x:v>
      </x:c>
      <x:c r="G58" s="2" t="s">
        <x:v>277</x:v>
      </x:c>
      <x:c r="H58" s="2"/>
      <x:c r="I58" s="2" t="s">
        <x:v>24</x:v>
      </x:c>
    </x:row>
    <x:row r="59" ht="37.95000076293945" customHeight="1">
      <x:c r="A59" s="2">
        <x:v>2</x:v>
      </x:c>
      <x:c r="B59" s="2" t="s">
        <x:v>13</x:v>
      </x:c>
      <x:c r="C59" s="2" t="s">
        <x:v>119</x:v>
      </x:c>
      <x:c r="D59" s="2" t="s">
        <x:v>115</x:v>
      </x:c>
      <x:c r="E59" s="2" t="s">
        <x:v>120</x:v>
      </x:c>
      <x:c r="F59" s="2" t="s">
        <x:v>117</x:v>
      </x:c>
      <x:c r="G59" s="2" t="s">
        <x:v>278</x:v>
      </x:c>
      <x:c r="H59" s="2"/>
      <x:c r="I59" s="2" t="s">
        <x:v>24</x:v>
      </x:c>
    </x:row>
    <x:row r="60" ht="37.95000076293945" customHeight="1">
      <x:c r="A60" s="2">
        <x:v>2</x:v>
      </x:c>
      <x:c r="B60" s="2" t="s">
        <x:v>13</x:v>
      </x:c>
      <x:c r="C60" s="2" t="s">
        <x:v>122</x:v>
      </x:c>
      <x:c r="D60" s="2" t="s">
        <x:v>115</x:v>
      </x:c>
      <x:c r="E60" s="2" t="s">
        <x:v>123</x:v>
      </x:c>
      <x:c r="F60" s="2" t="s">
        <x:v>124</x:v>
      </x:c>
      <x:c r="G60" s="2" t="s">
        <x:v>279</x:v>
      </x:c>
      <x:c r="H60" s="2"/>
      <x:c r="I60" s="2" t="s">
        <x:v>24</x:v>
      </x:c>
    </x:row>
    <x:row r="61" ht="37.95000076293945" customHeight="1">
      <x:c r="A61" s="2">
        <x:v>2</x:v>
      </x:c>
      <x:c r="B61" s="2" t="s">
        <x:v>13</x:v>
      </x:c>
      <x:c r="C61" s="2" t="s">
        <x:v>126</x:v>
      </x:c>
      <x:c r="D61" s="2" t="s">
        <x:v>115</x:v>
      </x:c>
      <x:c r="E61" s="2" t="s">
        <x:v>127</x:v>
      </x:c>
      <x:c r="F61" s="2" t="s">
        <x:v>117</x:v>
      </x:c>
      <x:c r="G61" s="2" t="s">
        <x:v>280</x:v>
      </x:c>
      <x:c r="H61" s="2"/>
      <x:c r="I61" s="2" t="s">
        <x:v>24</x:v>
      </x:c>
    </x:row>
    <x:row r="62" ht="37.95000076293945" customHeight="1">
      <x:c r="A62" s="2">
        <x:v>2</x:v>
      </x:c>
      <x:c r="B62" s="2" t="s">
        <x:v>13</x:v>
      </x:c>
      <x:c r="C62" s="2" t="s">
        <x:v>129</x:v>
      </x:c>
      <x:c r="D62" s="2" t="s">
        <x:v>115</x:v>
      </x:c>
      <x:c r="E62" s="2" t="s">
        <x:v>130</x:v>
      </x:c>
      <x:c r="F62" s="2" t="s">
        <x:v>117</x:v>
      </x:c>
      <x:c r="G62" s="2" t="s">
        <x:v>281</x:v>
      </x:c>
      <x:c r="H62" s="2"/>
      <x:c r="I62" s="2" t="s">
        <x:v>24</x:v>
      </x:c>
    </x:row>
    <x:row r="63" ht="37.95000076293945" customHeight="1">
      <x:c r="A63" s="2">
        <x:v>2</x:v>
      </x:c>
      <x:c r="B63" s="2" t="s">
        <x:v>13</x:v>
      </x:c>
      <x:c r="C63" s="2" t="s">
        <x:v>132</x:v>
      </x:c>
      <x:c r="D63" s="2" t="s">
        <x:v>115</x:v>
      </x:c>
      <x:c r="E63" s="2" t="s">
        <x:v>133</x:v>
      </x:c>
      <x:c r="F63" s="2" t="s">
        <x:v>117</x:v>
      </x:c>
      <x:c r="G63" s="2" t="s">
        <x:v>282</x:v>
      </x:c>
      <x:c r="H63" s="2"/>
      <x:c r="I63" s="2" t="s">
        <x:v>24</x:v>
      </x:c>
    </x:row>
    <x:row r="64" ht="37.95000076293945" customHeight="1">
      <x:c r="A64" s="2">
        <x:v>2</x:v>
      </x:c>
      <x:c r="B64" s="2" t="s">
        <x:v>13</x:v>
      </x:c>
      <x:c r="C64" s="2" t="s">
        <x:v>135</x:v>
      </x:c>
      <x:c r="D64" s="2" t="s">
        <x:v>136</x:v>
      </x:c>
      <x:c r="E64" s="2" t="s">
        <x:v>137</x:v>
      </x:c>
      <x:c r="F64" s="2" t="s">
        <x:v>117</x:v>
      </x:c>
      <x:c r="G64" s="2" t="s">
        <x:v>283</x:v>
      </x:c>
      <x:c r="H64" s="2"/>
      <x:c r="I64" s="2" t="s">
        <x:v>24</x:v>
      </x:c>
    </x:row>
    <x:row r="65" ht="37.95000076293945" customHeight="1">
      <x:c r="A65" s="2">
        <x:v>2</x:v>
      </x:c>
      <x:c r="B65" s="2" t="s">
        <x:v>13</x:v>
      </x:c>
      <x:c r="C65" s="2" t="s">
        <x:v>140</x:v>
      </x:c>
      <x:c r="D65" s="2" t="s">
        <x:v>136</x:v>
      </x:c>
      <x:c r="E65" s="2" t="s">
        <x:v>141</x:v>
      </x:c>
      <x:c r="F65" s="2" t="s">
        <x:v>117</x:v>
      </x:c>
      <x:c r="G65" s="2" t="s">
        <x:v>284</x:v>
      </x:c>
      <x:c r="H65" s="2"/>
      <x:c r="I65" s="2" t="s">
        <x:v>24</x:v>
      </x:c>
    </x:row>
    <x:row r="66" ht="37.95000076293945" customHeight="1">
      <x:c r="A66" s="2">
        <x:v>2</x:v>
      </x:c>
      <x:c r="B66" s="2" t="s">
        <x:v>13</x:v>
      </x:c>
      <x:c r="C66" s="2" t="s">
        <x:v>142</x:v>
      </x:c>
      <x:c r="D66" s="2" t="s">
        <x:v>136</x:v>
      </x:c>
      <x:c r="E66" s="2" t="s">
        <x:v>143</x:v>
      </x:c>
      <x:c r="F66" s="2" t="s">
        <x:v>117</x:v>
      </x:c>
      <x:c r="G66" s="2" t="s">
        <x:v>285</x:v>
      </x:c>
      <x:c r="H66" s="2"/>
      <x:c r="I66" s="2" t="s">
        <x:v>24</x:v>
      </x:c>
    </x:row>
    <x:row r="67" ht="37.95000076293945" customHeight="1">
      <x:c r="A67" s="2">
        <x:v>2</x:v>
      </x:c>
      <x:c r="B67" s="2" t="s">
        <x:v>13</x:v>
      </x:c>
      <x:c r="C67" s="2" t="s">
        <x:v>146</x:v>
      </x:c>
      <x:c r="D67" s="2" t="s">
        <x:v>136</x:v>
      </x:c>
      <x:c r="E67" s="2" t="s">
        <x:v>147</x:v>
      </x:c>
      <x:c r="F67" s="2" t="str">
        <x:v>ACCEPTABLE</x:v>
      </x:c>
      <x:c r="G67" s="2" t="str">
        <x:v>General protective benefits of magnetic presentation boxes are acceptable B2B marketing descriptions, not measurable parcel-shipping guarantees.</x:v>
      </x:c>
      <x:c r="H67" s="2"/>
      <x:c r="I67" s="2" t="str">
        <x:v>https://print247.us/post/choose-magnetic-closure-boxes</x:v>
      </x:c>
    </x:row>
    <x:row r="68" ht="37.95000076293945" customHeight="1">
      <x:c r="A68" s="2">
        <x:v>2</x:v>
      </x:c>
      <x:c r="B68" s="2" t="s">
        <x:v>13</x:v>
      </x:c>
      <x:c r="C68" s="2" t="s">
        <x:v>148</x:v>
      </x:c>
      <x:c r="D68" s="2" t="s">
        <x:v>136</x:v>
      </x:c>
      <x:c r="E68" s="2" t="s">
        <x:v>149</x:v>
      </x:c>
      <x:c r="F68" s="2" t="s">
        <x:v>117</x:v>
      </x:c>
      <x:c r="G68" s="2" t="s">
        <x:v>286</x:v>
      </x:c>
      <x:c r="H68" s="2"/>
      <x:c r="I68" s="2" t="s">
        <x:v>24</x:v>
      </x:c>
    </x:row>
    <x:row r="69" ht="37.95000076293945" customHeight="1">
      <x:c r="A69" s="2">
        <x:v>2</x:v>
      </x:c>
      <x:c r="B69" s="2" t="s">
        <x:v>13</x:v>
      </x:c>
      <x:c r="C69" s="2" t="s">
        <x:v>150</x:v>
      </x:c>
      <x:c r="D69" s="2" t="s">
        <x:v>136</x:v>
      </x:c>
      <x:c r="E69" s="2" t="s">
        <x:v>151</x:v>
      </x:c>
      <x:c r="F69" s="2" t="s">
        <x:v>117</x:v>
      </x:c>
      <x:c r="G69" s="2" t="s">
        <x:v>287</x:v>
      </x:c>
      <x:c r="H69" s="2"/>
      <x:c r="I69" s="2" t="s">
        <x:v>24</x:v>
      </x:c>
    </x:row>
    <x:row r="70" ht="37.95000076293945" customHeight="1">
      <x:c r="A70" s="2">
        <x:v>2</x:v>
      </x:c>
      <x:c r="B70" s="2" t="s">
        <x:v>13</x:v>
      </x:c>
      <x:c r="C70" s="2" t="s">
        <x:v>153</x:v>
      </x:c>
      <x:c r="D70" s="2" t="s">
        <x:v>154</x:v>
      </x:c>
      <x:c r="E70" s="2" t="s">
        <x:v>155</x:v>
      </x:c>
      <x:c r="F70" s="2" t="s">
        <x:v>117</x:v>
      </x:c>
      <x:c r="G70" s="2" t="s">
        <x:v>288</x:v>
      </x:c>
      <x:c r="H70" s="2"/>
      <x:c r="I70" s="2" t="s">
        <x:v>24</x:v>
      </x:c>
    </x:row>
    <x:row r="71" ht="37.95000076293945" customHeight="1">
      <x:c r="A71" s="2">
        <x:v>2</x:v>
      </x:c>
      <x:c r="B71" s="2" t="s">
        <x:v>13</x:v>
      </x:c>
      <x:c r="C71" s="2" t="s">
        <x:v>157</x:v>
      </x:c>
      <x:c r="D71" s="2" t="s">
        <x:v>154</x:v>
      </x:c>
      <x:c r="E71" s="2" t="s">
        <x:v>158</x:v>
      </x:c>
      <x:c r="F71" s="2" t="s">
        <x:v>117</x:v>
      </x:c>
      <x:c r="G71" s="2" t="s">
        <x:v>289</x:v>
      </x:c>
      <x:c r="H71" s="2"/>
      <x:c r="I71" s="2" t="s">
        <x:v>24</x:v>
      </x:c>
    </x:row>
    <x:row r="72" ht="37.95000076293945" customHeight="1">
      <x:c r="A72" s="2">
        <x:v>2</x:v>
      </x:c>
      <x:c r="B72" s="2" t="s">
        <x:v>13</x:v>
      </x:c>
      <x:c r="C72" s="2" t="s">
        <x:v>160</x:v>
      </x:c>
      <x:c r="D72" s="2" t="s">
        <x:v>154</x:v>
      </x:c>
      <x:c r="E72" s="2" t="s">
        <x:v>161</x:v>
      </x:c>
      <x:c r="F72" s="2" t="s">
        <x:v>117</x:v>
      </x:c>
      <x:c r="G72" s="2" t="s">
        <x:v>290</x:v>
      </x:c>
      <x:c r="H72" s="2"/>
      <x:c r="I72" s="2" t="s">
        <x:v>24</x:v>
      </x:c>
    </x:row>
    <x:row r="73" ht="37.95000076293945" customHeight="1">
      <x:c r="A73" s="2">
        <x:v>2</x:v>
      </x:c>
      <x:c r="B73" s="2" t="s">
        <x:v>13</x:v>
      </x:c>
      <x:c r="C73" s="2" t="s">
        <x:v>163</x:v>
      </x:c>
      <x:c r="D73" s="2" t="s">
        <x:v>154</x:v>
      </x:c>
      <x:c r="E73" s="2" t="s">
        <x:v>164</x:v>
      </x:c>
      <x:c r="F73" s="2" t="s">
        <x:v>117</x:v>
      </x:c>
      <x:c r="G73" s="2" t="s">
        <x:v>291</x:v>
      </x:c>
      <x:c r="H73" s="2"/>
      <x:c r="I73" s="2" t="s">
        <x:v>24</x:v>
      </x:c>
    </x:row>
    <x:row r="74" ht="37.95000076293945" customHeight="1">
      <x:c r="A74" s="2">
        <x:v>2</x:v>
      </x:c>
      <x:c r="B74" s="2" t="s">
        <x:v>13</x:v>
      </x:c>
      <x:c r="C74" s="2" t="s">
        <x:v>166</x:v>
      </x:c>
      <x:c r="D74" s="2" t="s">
        <x:v>154</x:v>
      </x:c>
      <x:c r="E74" s="2" t="s">
        <x:v>167</x:v>
      </x:c>
      <x:c r="F74" s="2" t="s">
        <x:v>117</x:v>
      </x:c>
      <x:c r="G74" s="2" t="s">
        <x:v>168</x:v>
      </x:c>
      <x:c r="H74" s="2"/>
      <x:c r="I74" s="2" t="s">
        <x:v>24</x:v>
      </x:c>
    </x:row>
    <x:row r="75" ht="37.95000076293945" customHeight="1">
      <x:c r="A75" s="2">
        <x:v>2</x:v>
      </x:c>
      <x:c r="B75" s="2" t="s">
        <x:v>13</x:v>
      </x:c>
      <x:c r="C75" s="2" t="s">
        <x:v>169</x:v>
      </x:c>
      <x:c r="D75" s="2" t="s">
        <x:v>154</x:v>
      </x:c>
      <x:c r="E75" s="2" t="s">
        <x:v>170</x:v>
      </x:c>
      <x:c r="F75" s="2" t="s">
        <x:v>124</x:v>
      </x:c>
      <x:c r="G75" s="2" t="s">
        <x:v>171</x:v>
      </x:c>
      <x:c r="H75" s="2"/>
      <x:c r="I75" s="2" t="s">
        <x:v>24</x:v>
      </x:c>
    </x:row>
    <x:row r="76" ht="37.95000076293945" customHeight="1">
      <x:c r="A76" s="2">
        <x:v>2</x:v>
      </x:c>
      <x:c r="B76" s="2" t="s">
        <x:v>13</x:v>
      </x:c>
      <x:c r="C76" s="2" t="s">
        <x:v>172</x:v>
      </x:c>
      <x:c r="D76" s="2" t="s">
        <x:v>173</x:v>
      </x:c>
      <x:c r="E76" s="2" t="s">
        <x:v>174</x:v>
      </x:c>
      <x:c r="F76" s="2" t="s">
        <x:v>117</x:v>
      </x:c>
      <x:c r="G76" s="2" t="s">
        <x:v>292</x:v>
      </x:c>
      <x:c r="H76" s="2"/>
      <x:c r="I76" s="2" t="s">
        <x:v>24</x:v>
      </x:c>
    </x:row>
    <x:row r="77" ht="37.95000076293945" customHeight="1">
      <x:c r="A77" s="2">
        <x:v>2</x:v>
      </x:c>
      <x:c r="B77" s="2" t="s">
        <x:v>13</x:v>
      </x:c>
      <x:c r="C77" s="2" t="s">
        <x:v>176</x:v>
      </x:c>
      <x:c r="D77" s="2" t="s">
        <x:v>173</x:v>
      </x:c>
      <x:c r="E77" s="2" t="s">
        <x:v>177</x:v>
      </x:c>
      <x:c r="F77" s="2" t="s">
        <x:v>117</x:v>
      </x:c>
      <x:c r="G77" s="2" t="s">
        <x:v>293</x:v>
      </x:c>
      <x:c r="H77" s="2"/>
      <x:c r="I77" s="2" t="s">
        <x:v>24</x:v>
      </x:c>
    </x:row>
    <x:row r="78" ht="37.95000076293945" customHeight="1">
      <x:c r="A78" s="2">
        <x:v>2</x:v>
      </x:c>
      <x:c r="B78" s="2" t="s">
        <x:v>13</x:v>
      </x:c>
      <x:c r="C78" s="2" t="s">
        <x:v>179</x:v>
      </x:c>
      <x:c r="D78" s="2" t="s">
        <x:v>173</x:v>
      </x:c>
      <x:c r="E78" s="2" t="s">
        <x:v>180</x:v>
      </x:c>
      <x:c r="F78" s="2" t="s">
        <x:v>117</x:v>
      </x:c>
      <x:c r="G78" s="2" t="s">
        <x:v>294</x:v>
      </x:c>
      <x:c r="H78" s="2"/>
      <x:c r="I78" s="2" t="s">
        <x:v>24</x:v>
      </x:c>
    </x:row>
    <x:row r="79" ht="37.95000076293945" customHeight="1">
      <x:c r="A79" s="2">
        <x:v>2</x:v>
      </x:c>
      <x:c r="B79" s="2" t="s">
        <x:v>13</x:v>
      </x:c>
      <x:c r="C79" s="2" t="s">
        <x:v>182</x:v>
      </x:c>
      <x:c r="D79" s="2" t="s">
        <x:v>173</x:v>
      </x:c>
      <x:c r="E79" s="2" t="s">
        <x:v>183</x:v>
      </x:c>
      <x:c r="F79" s="2" t="s">
        <x:v>117</x:v>
      </x:c>
      <x:c r="G79" s="2" t="s">
        <x:v>295</x:v>
      </x:c>
      <x:c r="H79" s="2"/>
      <x:c r="I79" s="2" t="s">
        <x:v>24</x:v>
      </x:c>
    </x:row>
    <x:row r="80" ht="37.95000076293945" customHeight="1">
      <x:c r="A80" s="2">
        <x:v>2</x:v>
      </x:c>
      <x:c r="B80" s="2" t="s">
        <x:v>13</x:v>
      </x:c>
      <x:c r="C80" s="2" t="s">
        <x:v>184</x:v>
      </x:c>
      <x:c r="D80" s="2" t="s">
        <x:v>173</x:v>
      </x:c>
      <x:c r="E80" s="2" t="s">
        <x:v>185</x:v>
      </x:c>
      <x:c r="F80" s="2" t="str">
        <x:v>PASS</x:v>
      </x:c>
      <x:c r="G80" s="2" t="str">
        <x:v>The writer provides enough construction and presentation guidance to support an informed initial selection.</x:v>
      </x:c>
      <x:c r="H80" s="2"/>
      <x:c r="I80" s="2" t="str">
        <x:v>https://print247.us/post/choose-magnetic-closure-boxes</x:v>
      </x:c>
    </x:row>
    <x:row r="81" ht="37.95000076293945" customHeight="1">
      <x:c r="A81" s="2">
        <x:v>2</x:v>
      </x:c>
      <x:c r="B81" s="2" t="s">
        <x:v>13</x:v>
      </x:c>
      <x:c r="C81" s="2" t="s">
        <x:v>186</x:v>
      </x:c>
      <x:c r="D81" s="2" t="s">
        <x:v>173</x:v>
      </x:c>
      <x:c r="E81" s="2" t="s">
        <x:v>187</x:v>
      </x:c>
      <x:c r="F81" s="2" t="s">
        <x:v>188</x:v>
      </x:c>
      <x:c r="G81" s="2" t="s">
        <x:v>189</x:v>
      </x:c>
      <x:c r="H81" s="2"/>
      <x:c r="I81" s="2" t="s">
        <x:v>24</x:v>
      </x:c>
    </x:row>
    <x:row r="82" ht="37.95000076293945" customHeight="1">
      <x:c r="A82" s="2">
        <x:v>2</x:v>
      </x:c>
      <x:c r="B82" s="2" t="s">
        <x:v>13</x:v>
      </x:c>
      <x:c r="C82" s="2" t="s">
        <x:v>190</x:v>
      </x:c>
      <x:c r="D82" s="2" t="s">
        <x:v>191</x:v>
      </x:c>
      <x:c r="E82" s="2" t="s">
        <x:v>192</x:v>
      </x:c>
      <x:c r="F82" s="2" t="s">
        <x:v>124</x:v>
      </x:c>
      <x:c r="G82" s="2" t="s">
        <x:v>296</x:v>
      </x:c>
      <x:c r="H82" s="2"/>
      <x:c r="I82" s="2" t="s">
        <x:v>24</x:v>
      </x:c>
    </x:row>
    <x:row r="83" ht="37.95000076293945" customHeight="1">
      <x:c r="A83" s="2">
        <x:v>2</x:v>
      </x:c>
      <x:c r="B83" s="2" t="s">
        <x:v>13</x:v>
      </x:c>
      <x:c r="C83" s="2" t="s">
        <x:v>194</x:v>
      </x:c>
      <x:c r="D83" s="2" t="s">
        <x:v>191</x:v>
      </x:c>
      <x:c r="E83" s="2" t="s">
        <x:v>195</x:v>
      </x:c>
      <x:c r="F83" s="2" t="s">
        <x:v>117</x:v>
      </x:c>
      <x:c r="G83" s="2" t="s">
        <x:v>297</x:v>
      </x:c>
      <x:c r="H83" s="2"/>
      <x:c r="I83" s="2" t="s">
        <x:v>24</x:v>
      </x:c>
    </x:row>
    <x:row r="84" ht="37.95000076293945" customHeight="1">
      <x:c r="A84" s="2">
        <x:v>2</x:v>
      </x:c>
      <x:c r="B84" s="2" t="s">
        <x:v>13</x:v>
      </x:c>
      <x:c r="C84" s="2" t="s">
        <x:v>197</x:v>
      </x:c>
      <x:c r="D84" s="2" t="s">
        <x:v>191</x:v>
      </x:c>
      <x:c r="E84" s="2" t="s">
        <x:v>198</x:v>
      </x:c>
      <x:c r="F84" s="2" t="s">
        <x:v>117</x:v>
      </x:c>
      <x:c r="G84" s="2" t="s">
        <x:v>298</x:v>
      </x:c>
      <x:c r="H84" s="2"/>
      <x:c r="I84" s="2" t="s">
        <x:v>24</x:v>
      </x:c>
    </x:row>
    <x:row r="85" ht="37.95000076293945" customHeight="1">
      <x:c r="A85" s="2">
        <x:v>2</x:v>
      </x:c>
      <x:c r="B85" s="2" t="s">
        <x:v>13</x:v>
      </x:c>
      <x:c r="C85" s="2" t="s">
        <x:v>200</x:v>
      </x:c>
      <x:c r="D85" s="2" t="s">
        <x:v>191</x:v>
      </x:c>
      <x:c r="E85" s="2" t="s">
        <x:v>201</x:v>
      </x:c>
      <x:c r="F85" s="2" t="s">
        <x:v>117</x:v>
      </x:c>
      <x:c r="G85" s="2" t="s">
        <x:v>299</x:v>
      </x:c>
      <x:c r="H85" s="2"/>
      <x:c r="I85" s="2" t="s">
        <x:v>24</x:v>
      </x:c>
    </x:row>
    <x:row r="86" ht="37.95000076293945" customHeight="1">
      <x:c r="A86" s="2">
        <x:v>2</x:v>
      </x:c>
      <x:c r="B86" s="2" t="s">
        <x:v>13</x:v>
      </x:c>
      <x:c r="C86" s="2" t="s">
        <x:v>203</x:v>
      </x:c>
      <x:c r="D86" s="2" t="s">
        <x:v>191</x:v>
      </x:c>
      <x:c r="E86" s="2" t="s">
        <x:v>204</x:v>
      </x:c>
      <x:c r="F86" s="2" t="s">
        <x:v>117</x:v>
      </x:c>
      <x:c r="G86" s="2" t="s">
        <x:v>300</x:v>
      </x:c>
      <x:c r="H86" s="2"/>
      <x:c r="I86" s="2" t="s">
        <x:v>24</x:v>
      </x:c>
    </x:row>
    <x:row r="87" ht="37.95000076293945" customHeight="1">
      <x:c r="A87" s="2">
        <x:v>2</x:v>
      </x:c>
      <x:c r="B87" s="2" t="s">
        <x:v>13</x:v>
      </x:c>
      <x:c r="C87" s="2" t="s">
        <x:v>206</x:v>
      </x:c>
      <x:c r="D87" s="2" t="s">
        <x:v>191</x:v>
      </x:c>
      <x:c r="E87" s="2" t="s">
        <x:v>207</x:v>
      </x:c>
      <x:c r="F87" s="2" t="s">
        <x:v>117</x:v>
      </x:c>
      <x:c r="G87" s="2" t="s">
        <x:v>301</x:v>
      </x:c>
      <x:c r="H87" s="2"/>
      <x:c r="I87" s="2" t="s">
        <x:v>24</x:v>
      </x:c>
    </x:row>
    <x:row r="88" ht="37.95000076293945" customHeight="1">
      <x:c r="A88" s="2">
        <x:v>2</x:v>
      </x:c>
      <x:c r="B88" s="2" t="s">
        <x:v>13</x:v>
      </x:c>
      <x:c r="C88" s="2" t="s">
        <x:v>209</x:v>
      </x:c>
      <x:c r="D88" s="2" t="s">
        <x:v>210</x:v>
      </x:c>
      <x:c r="E88" s="2" t="s">
        <x:v>211</x:v>
      </x:c>
      <x:c r="F88" s="2" t="s">
        <x:v>117</x:v>
      </x:c>
      <x:c r="G88" s="2" t="s">
        <x:v>302</x:v>
      </x:c>
      <x:c r="H88" s="2"/>
      <x:c r="I88" s="2" t="s">
        <x:v>24</x:v>
      </x:c>
    </x:row>
    <x:row r="89" ht="37.95000076293945" customHeight="1">
      <x:c r="A89" s="2">
        <x:v>2</x:v>
      </x:c>
      <x:c r="B89" s="2" t="s">
        <x:v>13</x:v>
      </x:c>
      <x:c r="C89" s="2" t="s">
        <x:v>213</x:v>
      </x:c>
      <x:c r="D89" s="2" t="s">
        <x:v>210</x:v>
      </x:c>
      <x:c r="E89" s="2" t="s">
        <x:v>214</x:v>
      </x:c>
      <x:c r="F89" s="2" t="s">
        <x:v>117</x:v>
      </x:c>
      <x:c r="G89" s="2" t="s">
        <x:v>215</x:v>
      </x:c>
      <x:c r="H89" s="2"/>
      <x:c r="I89" s="2" t="s">
        <x:v>24</x:v>
      </x:c>
    </x:row>
    <x:row r="90" ht="37.95000076293945" customHeight="1">
      <x:c r="A90" s="2">
        <x:v>2</x:v>
      </x:c>
      <x:c r="B90" s="2" t="s">
        <x:v>13</x:v>
      </x:c>
      <x:c r="C90" s="2" t="s">
        <x:v>216</x:v>
      </x:c>
      <x:c r="D90" s="2" t="s">
        <x:v>210</x:v>
      </x:c>
      <x:c r="E90" s="2" t="s">
        <x:v>217</x:v>
      </x:c>
      <x:c r="F90" s="2" t="s">
        <x:v>117</x:v>
      </x:c>
      <x:c r="G90" s="2" t="s">
        <x:v>303</x:v>
      </x:c>
      <x:c r="H90" s="2"/>
      <x:c r="I90" s="2" t="s">
        <x:v>24</x:v>
      </x:c>
    </x:row>
    <x:row r="91" ht="37.95000076293945" customHeight="1">
      <x:c r="A91" s="2">
        <x:v>2</x:v>
      </x:c>
      <x:c r="B91" s="2" t="s">
        <x:v>13</x:v>
      </x:c>
      <x:c r="C91" s="2" t="s">
        <x:v>219</x:v>
      </x:c>
      <x:c r="D91" s="2" t="s">
        <x:v>210</x:v>
      </x:c>
      <x:c r="E91" s="2" t="s">
        <x:v>220</x:v>
      </x:c>
      <x:c r="F91" s="2" t="s">
        <x:v>117</x:v>
      </x:c>
      <x:c r="G91" s="2" t="s">
        <x:v>221</x:v>
      </x:c>
      <x:c r="H91" s="2"/>
      <x:c r="I91" s="2" t="s">
        <x:v>24</x:v>
      </x:c>
    </x:row>
    <x:row r="92" ht="37.95000076293945" customHeight="1">
      <x:c r="A92" s="2">
        <x:v>2</x:v>
      </x:c>
      <x:c r="B92" s="2" t="s">
        <x:v>13</x:v>
      </x:c>
      <x:c r="C92" s="2" t="s">
        <x:v>222</x:v>
      </x:c>
      <x:c r="D92" s="2" t="s">
        <x:v>210</x:v>
      </x:c>
      <x:c r="E92" s="2" t="s">
        <x:v>223</x:v>
      </x:c>
      <x:c r="F92" s="2" t="s">
        <x:v>117</x:v>
      </x:c>
      <x:c r="G92" s="2" t="s">
        <x:v>304</x:v>
      </x:c>
      <x:c r="H92" s="2"/>
      <x:c r="I92" s="2" t="s">
        <x:v>24</x:v>
      </x:c>
    </x:row>
    <x:row r="93" ht="37.95000076293945" customHeight="1">
      <x:c r="A93" s="2">
        <x:v>2</x:v>
      </x:c>
      <x:c r="B93" s="2" t="s">
        <x:v>13</x:v>
      </x:c>
      <x:c r="C93" s="2" t="s">
        <x:v>225</x:v>
      </x:c>
      <x:c r="D93" s="2" t="s">
        <x:v>226</x:v>
      </x:c>
      <x:c r="E93" s="2" t="s">
        <x:v>227</x:v>
      </x:c>
      <x:c r="F93" s="2" t="s">
        <x:v>117</x:v>
      </x:c>
      <x:c r="G93" s="2" t="s">
        <x:v>305</x:v>
      </x:c>
      <x:c r="H93" s="2"/>
      <x:c r="I93" s="2" t="s">
        <x:v>24</x:v>
      </x:c>
    </x:row>
    <x:row r="94" ht="37.95000076293945" customHeight="1">
      <x:c r="A94" s="2">
        <x:v>2</x:v>
      </x:c>
      <x:c r="B94" s="2" t="s">
        <x:v>13</x:v>
      </x:c>
      <x:c r="C94" s="2" t="s">
        <x:v>229</x:v>
      </x:c>
      <x:c r="D94" s="2" t="s">
        <x:v>226</x:v>
      </x:c>
      <x:c r="E94" s="2" t="s">
        <x:v>230</x:v>
      </x:c>
      <x:c r="F94" s="2" t="s">
        <x:v>117</x:v>
      </x:c>
      <x:c r="G94" s="2" t="s">
        <x:v>306</x:v>
      </x:c>
      <x:c r="H94" s="2"/>
      <x:c r="I94" s="2" t="s">
        <x:v>24</x:v>
      </x:c>
    </x:row>
    <x:row r="95" ht="37.95000076293945" customHeight="1">
      <x:c r="A95" s="2">
        <x:v>2</x:v>
      </x:c>
      <x:c r="B95" s="2" t="s">
        <x:v>13</x:v>
      </x:c>
      <x:c r="C95" s="2" t="s">
        <x:v>232</x:v>
      </x:c>
      <x:c r="D95" s="2" t="s">
        <x:v>226</x:v>
      </x:c>
      <x:c r="E95" s="2" t="s">
        <x:v>233</x:v>
      </x:c>
      <x:c r="F95" s="2" t="s">
        <x:v>117</x:v>
      </x:c>
      <x:c r="G95" s="2" t="s">
        <x:v>307</x:v>
      </x:c>
      <x:c r="H95" s="2"/>
      <x:c r="I95" s="2" t="s">
        <x:v>24</x:v>
      </x:c>
    </x:row>
    <x:row r="96" ht="37.95000076293945" customHeight="1">
      <x:c r="A96" s="2">
        <x:v>2</x:v>
      </x:c>
      <x:c r="B96" s="2" t="s">
        <x:v>13</x:v>
      </x:c>
      <x:c r="C96" s="2" t="s">
        <x:v>234</x:v>
      </x:c>
      <x:c r="D96" s="2" t="s">
        <x:v>226</x:v>
      </x:c>
      <x:c r="E96" s="2" t="s">
        <x:v>235</x:v>
      </x:c>
      <x:c r="F96" s="2" t="str">
        <x:v>PASS</x:v>
      </x:c>
      <x:c r="G96" s="2" t="str">
        <x:v>The article links magnetic-box construction and brand presentation to recognizable buyer applications.</x:v>
      </x:c>
      <x:c r="H96" s="2"/>
      <x:c r="I96" s="2" t="str">
        <x:v>https://print247.us/post/choose-magnetic-closure-boxes</x:v>
      </x:c>
    </x:row>
    <x:row r="97" ht="37.95000076293945" customHeight="1">
      <x:c r="A97" s="2">
        <x:v>2</x:v>
      </x:c>
      <x:c r="B97" s="2" t="s">
        <x:v>13</x:v>
      </x:c>
      <x:c r="C97" s="2" t="s">
        <x:v>236</x:v>
      </x:c>
      <x:c r="D97" s="2" t="s">
        <x:v>226</x:v>
      </x:c>
      <x:c r="E97" s="2" t="s">
        <x:v>237</x:v>
      </x:c>
      <x:c r="F97" s="2" t="s">
        <x:v>117</x:v>
      </x:c>
      <x:c r="G97" s="2" t="s">
        <x:v>238</x:v>
      </x:c>
      <x:c r="H97" s="2"/>
      <x:c r="I97" s="2" t="s">
        <x:v>24</x:v>
      </x:c>
    </x:row>
    <x:row r="98" ht="37.95000076293945" customHeight="1">
      <x:c r="A98" s="2">
        <x:v>2</x:v>
      </x:c>
      <x:c r="B98" s="2" t="s">
        <x:v>13</x:v>
      </x:c>
      <x:c r="C98" s="2" t="s">
        <x:v>239</x:v>
      </x:c>
      <x:c r="D98" s="2" t="s">
        <x:v>226</x:v>
      </x:c>
      <x:c r="E98" s="2" t="s">
        <x:v>240</x:v>
      </x:c>
      <x:c r="F98" s="2" t="s">
        <x:v>117</x:v>
      </x:c>
      <x:c r="G98" s="2" t="s">
        <x:v>241</x:v>
      </x:c>
      <x:c r="H98" s="2"/>
      <x:c r="I98" s="2" t="s">
        <x:v>24</x:v>
      </x:c>
    </x:row>
    <x:row r="99" ht="37.95000076293945" customHeight="1">
      <x:c r="A99" s="2">
        <x:v>2</x:v>
      </x:c>
      <x:c r="B99" s="2" t="s">
        <x:v>13</x:v>
      </x:c>
      <x:c r="C99" s="2" t="s">
        <x:v>242</x:v>
      </x:c>
      <x:c r="D99" s="2" t="s">
        <x:v>243</x:v>
      </x:c>
      <x:c r="E99" s="2" t="s">
        <x:v>244</x:v>
      </x:c>
      <x:c r="F99" s="2" t="s">
        <x:v>117</x:v>
      </x:c>
      <x:c r="G99" s="2" t="s">
        <x:v>245</x:v>
      </x:c>
      <x:c r="H99" s="2"/>
      <x:c r="I99" s="2" t="s">
        <x:v>24</x:v>
      </x:c>
    </x:row>
    <x:row r="100" ht="37.95000076293945" customHeight="1">
      <x:c r="A100" s="2">
        <x:v>2</x:v>
      </x:c>
      <x:c r="B100" s="2" t="s">
        <x:v>13</x:v>
      </x:c>
      <x:c r="C100" s="2" t="s">
        <x:v>246</x:v>
      </x:c>
      <x:c r="D100" s="2" t="s">
        <x:v>243</x:v>
      </x:c>
      <x:c r="E100" s="2" t="s">
        <x:v>247</x:v>
      </x:c>
      <x:c r="F100" s="2" t="s">
        <x:v>117</x:v>
      </x:c>
      <x:c r="G100" s="2" t="s">
        <x:v>248</x:v>
      </x:c>
      <x:c r="H100" s="2"/>
      <x:c r="I100" s="2" t="s">
        <x:v>24</x:v>
      </x:c>
    </x:row>
    <x:row r="101" ht="37.95000076293945" customHeight="1">
      <x:c r="A101" s="2">
        <x:v>2</x:v>
      </x:c>
      <x:c r="B101" s="2" t="s">
        <x:v>13</x:v>
      </x:c>
      <x:c r="C101" s="2" t="s">
        <x:v>249</x:v>
      </x:c>
      <x:c r="D101" s="2" t="s">
        <x:v>243</x:v>
      </x:c>
      <x:c r="E101" s="2" t="s">
        <x:v>250</x:v>
      </x:c>
      <x:c r="F101" s="2" t="s">
        <x:v>117</x:v>
      </x:c>
      <x:c r="G101" s="2" t="s">
        <x:v>251</x:v>
      </x:c>
      <x:c r="H101" s="2"/>
      <x:c r="I101" s="2" t="s">
        <x:v>24</x:v>
      </x:c>
    </x:row>
    <x:row r="102" ht="37.95000076293945" customHeight="1">
      <x:c r="A102" s="2">
        <x:v>2</x:v>
      </x:c>
      <x:c r="B102" s="2" t="s">
        <x:v>13</x:v>
      </x:c>
      <x:c r="C102" s="2" t="s">
        <x:v>252</x:v>
      </x:c>
      <x:c r="D102" s="2" t="s">
        <x:v>243</x:v>
      </x:c>
      <x:c r="E102" s="2" t="s">
        <x:v>253</x:v>
      </x:c>
      <x:c r="F102" s="2" t="s">
        <x:v>188</x:v>
      </x:c>
      <x:c r="G102" s="2" t="s">
        <x:v>254</x:v>
      </x:c>
      <x:c r="H102" s="2"/>
      <x:c r="I102" s="2" t="s">
        <x:v>24</x:v>
      </x:c>
    </x:row>
    <x:row r="103" ht="37.95000076293945" customHeight="1">
      <x:c r="A103" s="2">
        <x:v>2</x:v>
      </x:c>
      <x:c r="B103" s="2" t="s">
        <x:v>13</x:v>
      </x:c>
      <x:c r="C103" s="2" t="s">
        <x:v>255</x:v>
      </x:c>
      <x:c r="D103" s="2" t="s">
        <x:v>243</x:v>
      </x:c>
      <x:c r="E103" s="2" t="s">
        <x:v>256</x:v>
      </x:c>
      <x:c r="F103" s="2" t="s">
        <x:v>188</x:v>
      </x:c>
      <x:c r="G103" s="2" t="s">
        <x:v>257</x:v>
      </x:c>
      <x:c r="H103" s="2"/>
      <x:c r="I103" s="2" t="s">
        <x:v>24</x:v>
      </x:c>
    </x:row>
    <x:row r="104" ht="37.95000076293945" customHeight="1">
      <x:c r="A104" s="2">
        <x:v>2</x:v>
      </x:c>
      <x:c r="B104" s="2" t="s">
        <x:v>13</x:v>
      </x:c>
      <x:c r="C104" s="2" t="s">
        <x:v>258</x:v>
      </x:c>
      <x:c r="D104" s="2" t="s">
        <x:v>259</x:v>
      </x:c>
      <x:c r="E104" s="2" t="s">
        <x:v>260</x:v>
      </x:c>
      <x:c r="F104" s="2" t="s">
        <x:v>124</x:v>
      </x:c>
      <x:c r="G104" s="2" t="s">
        <x:v>261</x:v>
      </x:c>
      <x:c r="H104" s="2"/>
      <x:c r="I104" s="2" t="s">
        <x:v>24</x:v>
      </x:c>
    </x:row>
    <x:row r="105" ht="37.95000076293945" customHeight="1">
      <x:c r="A105" s="2">
        <x:v>2</x:v>
      </x:c>
      <x:c r="B105" s="2" t="s">
        <x:v>13</x:v>
      </x:c>
      <x:c r="C105" s="2" t="s">
        <x:v>262</x:v>
      </x:c>
      <x:c r="D105" s="2" t="s">
        <x:v>259</x:v>
      </x:c>
      <x:c r="E105" s="2" t="s">
        <x:v>263</x:v>
      </x:c>
      <x:c r="F105" s="2" t="s">
        <x:v>117</x:v>
      </x:c>
      <x:c r="G105" s="2" t="s">
        <x:v>264</x:v>
      </x:c>
      <x:c r="H105" s="2"/>
      <x:c r="I105" s="2" t="s">
        <x:v>24</x:v>
      </x:c>
    </x:row>
    <x:row r="106" ht="37.95000076293945" customHeight="1">
      <x:c r="A106" s="2">
        <x:v>2</x:v>
      </x:c>
      <x:c r="B106" s="2" t="s">
        <x:v>13</x:v>
      </x:c>
      <x:c r="C106" s="2" t="s">
        <x:v>265</x:v>
      </x:c>
      <x:c r="D106" s="2" t="s">
        <x:v>259</x:v>
      </x:c>
      <x:c r="E106" s="2" t="s">
        <x:v>266</x:v>
      </x:c>
      <x:c r="F106" s="2" t="s">
        <x:v>124</x:v>
      </x:c>
      <x:c r="G106" s="2" t="s">
        <x:v>267</x:v>
      </x:c>
      <x:c r="H106" s="2"/>
      <x:c r="I106" s="2" t="s">
        <x:v>24</x:v>
      </x:c>
    </x:row>
    <x:row r="107" ht="37.95000076293945" customHeight="1">
      <x:c r="A107" s="2">
        <x:v>2</x:v>
      </x:c>
      <x:c r="B107" s="2" t="s">
        <x:v>13</x:v>
      </x:c>
      <x:c r="C107" s="2" t="s">
        <x:v>268</x:v>
      </x:c>
      <x:c r="D107" s="2" t="s">
        <x:v>259</x:v>
      </x:c>
      <x:c r="E107" s="2" t="s">
        <x:v>269</x:v>
      </x:c>
      <x:c r="F107" s="2" t="s">
        <x:v>124</x:v>
      </x:c>
      <x:c r="G107" s="2" t="s">
        <x:v>270</x:v>
      </x:c>
      <x:c r="H107" s="2"/>
      <x:c r="I107" s="2" t="s">
        <x:v>24</x:v>
      </x:c>
    </x:row>
    <x:row r="108" ht="37.95000076293945" customHeight="1">
      <x:c r="A108" s="2">
        <x:v>2</x:v>
      </x:c>
      <x:c r="B108" s="2" t="s">
        <x:v>13</x:v>
      </x:c>
      <x:c r="C108" s="2" t="s">
        <x:v>271</x:v>
      </x:c>
      <x:c r="D108" s="2" t="s">
        <x:v>259</x:v>
      </x:c>
      <x:c r="E108" s="2" t="s">
        <x:v>272</x:v>
      </x:c>
      <x:c r="F108" s="2" t="s">
        <x:v>124</x:v>
      </x:c>
      <x:c r="G108" s="2" t="s">
        <x:v>273</x:v>
      </x:c>
      <x:c r="H108" s="2"/>
      <x:c r="I108" s="2" t="s">
        <x:v>24</x:v>
      </x:c>
    </x:row>
    <x:row r="109" ht="37.95000076293945" customHeight="1">
      <x:c r="A109" s="2">
        <x:v>2</x:v>
      </x:c>
      <x:c r="B109" s="2" t="s">
        <x:v>13</x:v>
      </x:c>
      <x:c r="C109" s="2" t="s">
        <x:v>274</x:v>
      </x:c>
      <x:c r="D109" s="2" t="s">
        <x:v>259</x:v>
      </x:c>
      <x:c r="E109" s="2" t="s">
        <x:v>275</x:v>
      </x:c>
      <x:c r="F109" s="2" t="s">
        <x:v>124</x:v>
      </x:c>
      <x:c r="G109" s="2" t="s">
        <x:v>276</x:v>
      </x:c>
      <x:c r="H109" s="2"/>
      <x:c r="I109" s="2" t="s">
        <x:v>24</x:v>
      </x:c>
    </x:row>
    <x:row r="110" ht="37.95000076293945" customHeight="1">
      <x:c r="A110" s="2">
        <x:v>3</x:v>
      </x:c>
      <x:c r="B110" s="2" t="s">
        <x:v>14</x:v>
      </x:c>
      <x:c r="C110" s="2" t="s">
        <x:v>114</x:v>
      </x:c>
      <x:c r="D110" s="2" t="s">
        <x:v>115</x:v>
      </x:c>
      <x:c r="E110" s="2" t="s">
        <x:v>116</x:v>
      </x:c>
      <x:c r="F110" s="2" t="s">
        <x:v>117</x:v>
      </x:c>
      <x:c r="G110" s="2" t="s">
        <x:v>308</x:v>
      </x:c>
      <x:c r="H110" s="2"/>
      <x:c r="I110" s="2" t="s">
        <x:v>25</x:v>
      </x:c>
    </x:row>
    <x:row r="111" ht="37.95000076293945" customHeight="1">
      <x:c r="A111" s="2">
        <x:v>3</x:v>
      </x:c>
      <x:c r="B111" s="2" t="s">
        <x:v>14</x:v>
      </x:c>
      <x:c r="C111" s="2" t="s">
        <x:v>119</x:v>
      </x:c>
      <x:c r="D111" s="2" t="s">
        <x:v>115</x:v>
      </x:c>
      <x:c r="E111" s="2" t="s">
        <x:v>120</x:v>
      </x:c>
      <x:c r="F111" s="2" t="s">
        <x:v>117</x:v>
      </x:c>
      <x:c r="G111" s="2" t="s">
        <x:v>309</x:v>
      </x:c>
      <x:c r="H111" s="2"/>
      <x:c r="I111" s="2" t="s">
        <x:v>25</x:v>
      </x:c>
    </x:row>
    <x:row r="112" ht="37.95000076293945" customHeight="1">
      <x:c r="A112" s="2">
        <x:v>3</x:v>
      </x:c>
      <x:c r="B112" s="2" t="s">
        <x:v>14</x:v>
      </x:c>
      <x:c r="C112" s="2" t="s">
        <x:v>122</x:v>
      </x:c>
      <x:c r="D112" s="2" t="s">
        <x:v>115</x:v>
      </x:c>
      <x:c r="E112" s="2" t="s">
        <x:v>123</x:v>
      </x:c>
      <x:c r="F112" s="2" t="s">
        <x:v>124</x:v>
      </x:c>
      <x:c r="G112" s="2" t="s">
        <x:v>310</x:v>
      </x:c>
      <x:c r="H112" s="2"/>
      <x:c r="I112" s="2" t="s">
        <x:v>25</x:v>
      </x:c>
    </x:row>
    <x:row r="113" ht="37.95000076293945" customHeight="1">
      <x:c r="A113" s="2">
        <x:v>3</x:v>
      </x:c>
      <x:c r="B113" s="2" t="s">
        <x:v>14</x:v>
      </x:c>
      <x:c r="C113" s="2" t="s">
        <x:v>126</x:v>
      </x:c>
      <x:c r="D113" s="2" t="s">
        <x:v>115</x:v>
      </x:c>
      <x:c r="E113" s="2" t="s">
        <x:v>127</x:v>
      </x:c>
      <x:c r="F113" s="2" t="s">
        <x:v>117</x:v>
      </x:c>
      <x:c r="G113" s="2" t="s">
        <x:v>311</x:v>
      </x:c>
      <x:c r="H113" s="2"/>
      <x:c r="I113" s="2" t="s">
        <x:v>25</x:v>
      </x:c>
    </x:row>
    <x:row r="114" ht="37.95000076293945" customHeight="1">
      <x:c r="A114" s="2">
        <x:v>3</x:v>
      </x:c>
      <x:c r="B114" s="2" t="s">
        <x:v>14</x:v>
      </x:c>
      <x:c r="C114" s="2" t="s">
        <x:v>129</x:v>
      </x:c>
      <x:c r="D114" s="2" t="s">
        <x:v>115</x:v>
      </x:c>
      <x:c r="E114" s="2" t="s">
        <x:v>130</x:v>
      </x:c>
      <x:c r="F114" s="2" t="s">
        <x:v>117</x:v>
      </x:c>
      <x:c r="G114" s="2" t="s">
        <x:v>312</x:v>
      </x:c>
      <x:c r="H114" s="2"/>
      <x:c r="I114" s="2" t="s">
        <x:v>25</x:v>
      </x:c>
    </x:row>
    <x:row r="115" ht="37.95000076293945" customHeight="1">
      <x:c r="A115" s="2">
        <x:v>3</x:v>
      </x:c>
      <x:c r="B115" s="2" t="s">
        <x:v>14</x:v>
      </x:c>
      <x:c r="C115" s="2" t="s">
        <x:v>132</x:v>
      </x:c>
      <x:c r="D115" s="2" t="s">
        <x:v>115</x:v>
      </x:c>
      <x:c r="E115" s="2" t="s">
        <x:v>133</x:v>
      </x:c>
      <x:c r="F115" s="2" t="s">
        <x:v>117</x:v>
      </x:c>
      <x:c r="G115" s="2" t="s">
        <x:v>313</x:v>
      </x:c>
      <x:c r="H115" s="2"/>
      <x:c r="I115" s="2" t="s">
        <x:v>25</x:v>
      </x:c>
    </x:row>
    <x:row r="116" ht="37.95000076293945" customHeight="1">
      <x:c r="A116" s="2">
        <x:v>3</x:v>
      </x:c>
      <x:c r="B116" s="2" t="s">
        <x:v>14</x:v>
      </x:c>
      <x:c r="C116" s="2" t="s">
        <x:v>135</x:v>
      </x:c>
      <x:c r="D116" s="2" t="s">
        <x:v>136</x:v>
      </x:c>
      <x:c r="E116" s="2" t="s">
        <x:v>137</x:v>
      </x:c>
      <x:c r="F116" s="2" t="str">
        <x:v>PASS</x:v>
      </x:c>
      <x:c r="G116" s="2" t="str">
        <x:v>Closure types, material roles, and sealing terms are introduced appropriately; the withdrawn composition finding has no scoring effect.</x:v>
      </x:c>
      <x:c r="H116" s="2"/>
      <x:c r="I116" s="2" t="str">
        <x:v>https://print247.us/post/complete-guide-to-mylar-bag-closure-styles-and-sealing-methods</x:v>
      </x:c>
    </x:row>
    <x:row r="117" ht="37.95000076293945" customHeight="1">
      <x:c r="A117" s="2">
        <x:v>3</x:v>
      </x:c>
      <x:c r="B117" s="2" t="s">
        <x:v>14</x:v>
      </x:c>
      <x:c r="C117" s="2" t="s">
        <x:v>140</x:v>
      </x:c>
      <x:c r="D117" s="2" t="s">
        <x:v>136</x:v>
      </x:c>
      <x:c r="E117" s="2" t="s">
        <x:v>141</x:v>
      </x:c>
      <x:c r="F117" s="2" t="str">
        <x:v>FAIL</x:v>
      </x:c>
      <x:c r="G117" s="2" t="str">
        <x:v>Two material claims need correction: a heat seal does not eliminate oxygen already present, and vacuum sealing does not guarantee complete oxygen removal or product safety.</x:v>
      </x:c>
      <x:c r="H117" s="2" t="str">
        <x:v>MY-B03-02, MY-B03-03</x:v>
      </x:c>
      <x:c r="I117" s="2" t="str">
        <x:v>L285–287; L309–314; L318–320 · https://print247.us/post/complete-guide-to-mylar-bag-closure-styles-and-sealing-methods</x:v>
      </x:c>
    </x:row>
    <x:row r="118" ht="37.95000076293945" customHeight="1">
      <x:c r="A118" s="2">
        <x:v>3</x:v>
      </x:c>
      <x:c r="B118" s="2" t="s">
        <x:v>14</x:v>
      </x:c>
      <x:c r="C118" s="2" t="s">
        <x:v>142</x:v>
      </x:c>
      <x:c r="D118" s="2" t="s">
        <x:v>136</x:v>
      </x:c>
      <x:c r="E118" s="2" t="s">
        <x:v>143</x:v>
      </x:c>
      <x:c r="F118" s="2" t="s">
        <x:v>117</x:v>
      </x:c>
      <x:c r="G118" s="2" t="s">
        <x:v>285</x:v>
      </x:c>
      <x:c r="H118" s="2"/>
      <x:c r="I118" s="2" t="s">
        <x:v>25</x:v>
      </x:c>
    </x:row>
    <x:row r="119" ht="37.95000076293945" customHeight="1">
      <x:c r="A119" s="2">
        <x:v>3</x:v>
      </x:c>
      <x:c r="B119" s="2" t="s">
        <x:v>14</x:v>
      </x:c>
      <x:c r="C119" s="2" t="s">
        <x:v>146</x:v>
      </x:c>
      <x:c r="D119" s="2" t="s">
        <x:v>136</x:v>
      </x:c>
      <x:c r="E119" s="2" t="s">
        <x:v>147</x:v>
      </x:c>
      <x:c r="F119" s="2" t="s">
        <x:v>91</x:v>
      </x:c>
      <x:c r="G119" s="2" t="s">
        <x:v>314</x:v>
      </x:c>
      <x:c r="H119" s="2" t="s">
        <x:v>315</x:v>
      </x:c>
      <x:c r="I119" s="2" t="s">
        <x:v>316</x:v>
      </x:c>
    </x:row>
    <x:row r="120" ht="37.95000076293945" customHeight="1">
      <x:c r="A120" s="2">
        <x:v>3</x:v>
      </x:c>
      <x:c r="B120" s="2" t="s">
        <x:v>14</x:v>
      </x:c>
      <x:c r="C120" s="2" t="s">
        <x:v>148</x:v>
      </x:c>
      <x:c r="D120" s="2" t="s">
        <x:v>136</x:v>
      </x:c>
      <x:c r="E120" s="2" t="s">
        <x:v>149</x:v>
      </x:c>
      <x:c r="F120" s="2" t="str">
        <x:v>FAIL</x:v>
      </x:c>
      <x:c r="G120" s="2" t="str">
        <x:v>The oxygen-exclusion and vacuum-safety assurances could mislead buyers evaluating shelf-life or product preservation. Two distinct errors, counted once each.</x:v>
      </x:c>
      <x:c r="H120" s="2" t="str">
        <x:v>MY-B03-02, MY-B03-03</x:v>
      </x:c>
      <x:c r="I120" s="2" t="str">
        <x:v>L285–287; L309–314; L318–320 · https://print247.us/post/complete-guide-to-mylar-bag-closure-styles-and-sealing-methods</x:v>
      </x:c>
    </x:row>
    <x:row r="121" ht="37.95000076293945" customHeight="1">
      <x:c r="A121" s="2">
        <x:v>3</x:v>
      </x:c>
      <x:c r="B121" s="2" t="s">
        <x:v>14</x:v>
      </x:c>
      <x:c r="C121" s="2" t="s">
        <x:v>150</x:v>
      </x:c>
      <x:c r="D121" s="2" t="s">
        <x:v>136</x:v>
      </x:c>
      <x:c r="E121" s="2" t="s">
        <x:v>151</x:v>
      </x:c>
      <x:c r="F121" s="2" t="s">
        <x:v>76</x:v>
      </x:c>
      <x:c r="G121" s="2" t="s">
        <x:v>317</x:v>
      </x:c>
      <x:c r="H121" s="2" t="s">
        <x:v>61</x:v>
      </x:c>
      <x:c r="I121" s="2" t="s">
        <x:v>318</x:v>
      </x:c>
    </x:row>
    <x:row r="122" ht="37.95000076293945" customHeight="1">
      <x:c r="A122" s="2">
        <x:v>3</x:v>
      </x:c>
      <x:c r="B122" s="2" t="s">
        <x:v>14</x:v>
      </x:c>
      <x:c r="C122" s="2" t="s">
        <x:v>153</x:v>
      </x:c>
      <x:c r="D122" s="2" t="s">
        <x:v>154</x:v>
      </x:c>
      <x:c r="E122" s="2" t="s">
        <x:v>155</x:v>
      </x:c>
      <x:c r="F122" s="2" t="s">
        <x:v>117</x:v>
      </x:c>
      <x:c r="G122" s="2" t="s">
        <x:v>319</x:v>
      </x:c>
      <x:c r="H122" s="2"/>
      <x:c r="I122" s="2" t="s">
        <x:v>25</x:v>
      </x:c>
    </x:row>
    <x:row r="123" ht="37.95000076293945" customHeight="1">
      <x:c r="A123" s="2">
        <x:v>3</x:v>
      </x:c>
      <x:c r="B123" s="2" t="s">
        <x:v>14</x:v>
      </x:c>
      <x:c r="C123" s="2" t="s">
        <x:v>157</x:v>
      </x:c>
      <x:c r="D123" s="2" t="s">
        <x:v>154</x:v>
      </x:c>
      <x:c r="E123" s="2" t="s">
        <x:v>158</x:v>
      </x:c>
      <x:c r="F123" s="2" t="s">
        <x:v>117</x:v>
      </x:c>
      <x:c r="G123" s="2" t="s">
        <x:v>320</x:v>
      </x:c>
      <x:c r="H123" s="2"/>
      <x:c r="I123" s="2" t="s">
        <x:v>25</x:v>
      </x:c>
    </x:row>
    <x:row r="124" ht="37.95000076293945" customHeight="1">
      <x:c r="A124" s="2">
        <x:v>3</x:v>
      </x:c>
      <x:c r="B124" s="2" t="s">
        <x:v>14</x:v>
      </x:c>
      <x:c r="C124" s="2" t="s">
        <x:v>160</x:v>
      </x:c>
      <x:c r="D124" s="2" t="s">
        <x:v>154</x:v>
      </x:c>
      <x:c r="E124" s="2" t="s">
        <x:v>161</x:v>
      </x:c>
      <x:c r="F124" s="2" t="s">
        <x:v>117</x:v>
      </x:c>
      <x:c r="G124" s="2" t="s">
        <x:v>321</x:v>
      </x:c>
      <x:c r="H124" s="2"/>
      <x:c r="I124" s="2" t="s">
        <x:v>25</x:v>
      </x:c>
    </x:row>
    <x:row r="125" ht="37.95000076293945" customHeight="1">
      <x:c r="A125" s="2">
        <x:v>3</x:v>
      </x:c>
      <x:c r="B125" s="2" t="s">
        <x:v>14</x:v>
      </x:c>
      <x:c r="C125" s="2" t="s">
        <x:v>163</x:v>
      </x:c>
      <x:c r="D125" s="2" t="s">
        <x:v>154</x:v>
      </x:c>
      <x:c r="E125" s="2" t="s">
        <x:v>164</x:v>
      </x:c>
      <x:c r="F125" s="2" t="s">
        <x:v>117</x:v>
      </x:c>
      <x:c r="G125" s="2" t="s">
        <x:v>322</x:v>
      </x:c>
      <x:c r="H125" s="2"/>
      <x:c r="I125" s="2" t="s">
        <x:v>25</x:v>
      </x:c>
    </x:row>
    <x:row r="126" ht="37.95000076293945" customHeight="1">
      <x:c r="A126" s="2">
        <x:v>3</x:v>
      </x:c>
      <x:c r="B126" s="2" t="s">
        <x:v>14</x:v>
      </x:c>
      <x:c r="C126" s="2" t="s">
        <x:v>166</x:v>
      </x:c>
      <x:c r="D126" s="2" t="s">
        <x:v>154</x:v>
      </x:c>
      <x:c r="E126" s="2" t="s">
        <x:v>167</x:v>
      </x:c>
      <x:c r="F126" s="2" t="s">
        <x:v>117</x:v>
      </x:c>
      <x:c r="G126" s="2" t="s">
        <x:v>168</x:v>
      </x:c>
      <x:c r="H126" s="2"/>
      <x:c r="I126" s="2" t="s">
        <x:v>25</x:v>
      </x:c>
    </x:row>
    <x:row r="127" ht="37.95000076293945" customHeight="1">
      <x:c r="A127" s="2">
        <x:v>3</x:v>
      </x:c>
      <x:c r="B127" s="2" t="s">
        <x:v>14</x:v>
      </x:c>
      <x:c r="C127" s="2" t="s">
        <x:v>169</x:v>
      </x:c>
      <x:c r="D127" s="2" t="s">
        <x:v>154</x:v>
      </x:c>
      <x:c r="E127" s="2" t="s">
        <x:v>170</x:v>
      </x:c>
      <x:c r="F127" s="2" t="s">
        <x:v>124</x:v>
      </x:c>
      <x:c r="G127" s="2" t="s">
        <x:v>171</x:v>
      </x:c>
      <x:c r="H127" s="2"/>
      <x:c r="I127" s="2" t="s">
        <x:v>25</x:v>
      </x:c>
    </x:row>
    <x:row r="128" ht="37.95000076293945" customHeight="1">
      <x:c r="A128" s="2">
        <x:v>3</x:v>
      </x:c>
      <x:c r="B128" s="2" t="s">
        <x:v>14</x:v>
      </x:c>
      <x:c r="C128" s="2" t="s">
        <x:v>172</x:v>
      </x:c>
      <x:c r="D128" s="2" t="s">
        <x:v>173</x:v>
      </x:c>
      <x:c r="E128" s="2" t="s">
        <x:v>174</x:v>
      </x:c>
      <x:c r="F128" s="2" t="s">
        <x:v>117</x:v>
      </x:c>
      <x:c r="G128" s="2" t="s">
        <x:v>323</x:v>
      </x:c>
      <x:c r="H128" s="2"/>
      <x:c r="I128" s="2" t="s">
        <x:v>25</x:v>
      </x:c>
    </x:row>
    <x:row r="129" ht="37.95000076293945" customHeight="1">
      <x:c r="A129" s="2">
        <x:v>3</x:v>
      </x:c>
      <x:c r="B129" s="2" t="s">
        <x:v>14</x:v>
      </x:c>
      <x:c r="C129" s="2" t="s">
        <x:v>176</x:v>
      </x:c>
      <x:c r="D129" s="2" t="s">
        <x:v>173</x:v>
      </x:c>
      <x:c r="E129" s="2" t="s">
        <x:v>177</x:v>
      </x:c>
      <x:c r="F129" s="2" t="s">
        <x:v>117</x:v>
      </x:c>
      <x:c r="G129" s="2" t="s">
        <x:v>324</x:v>
      </x:c>
      <x:c r="H129" s="2"/>
      <x:c r="I129" s="2" t="s">
        <x:v>25</x:v>
      </x:c>
    </x:row>
    <x:row r="130" ht="37.95000076293945" customHeight="1">
      <x:c r="A130" s="2">
        <x:v>3</x:v>
      </x:c>
      <x:c r="B130" s="2" t="s">
        <x:v>14</x:v>
      </x:c>
      <x:c r="C130" s="2" t="s">
        <x:v>179</x:v>
      </x:c>
      <x:c r="D130" s="2" t="s">
        <x:v>173</x:v>
      </x:c>
      <x:c r="E130" s="2" t="s">
        <x:v>180</x:v>
      </x:c>
      <x:c r="F130" s="2" t="s">
        <x:v>91</x:v>
      </x:c>
      <x:c r="G130" s="2" t="s">
        <x:v>325</x:v>
      </x:c>
      <x:c r="H130" s="2" t="s">
        <x:v>90</x:v>
      </x:c>
      <x:c r="I130" s="2" t="s">
        <x:v>326</x:v>
      </x:c>
    </x:row>
    <x:row r="131" ht="37.95000076293945" customHeight="1">
      <x:c r="A131" s="2">
        <x:v>3</x:v>
      </x:c>
      <x:c r="B131" s="2" t="s">
        <x:v>14</x:v>
      </x:c>
      <x:c r="C131" s="2" t="s">
        <x:v>182</x:v>
      </x:c>
      <x:c r="D131" s="2" t="s">
        <x:v>173</x:v>
      </x:c>
      <x:c r="E131" s="2" t="s">
        <x:v>183</x:v>
      </x:c>
      <x:c r="F131" s="2" t="s">
        <x:v>117</x:v>
      </x:c>
      <x:c r="G131" s="2" t="s">
        <x:v>327</x:v>
      </x:c>
      <x:c r="H131" s="2"/>
      <x:c r="I131" s="2" t="s">
        <x:v>25</x:v>
      </x:c>
    </x:row>
    <x:row r="132" ht="37.95000076293945" customHeight="1">
      <x:c r="A132" s="2">
        <x:v>3</x:v>
      </x:c>
      <x:c r="B132" s="2" t="s">
        <x:v>14</x:v>
      </x:c>
      <x:c r="C132" s="2" t="s">
        <x:v>184</x:v>
      </x:c>
      <x:c r="D132" s="2" t="s">
        <x:v>173</x:v>
      </x:c>
      <x:c r="E132" s="2" t="s">
        <x:v>185</x:v>
      </x:c>
      <x:c r="F132" s="2" t="s">
        <x:v>117</x:v>
      </x:c>
      <x:c r="G132" s="2" t="s">
        <x:v>328</x:v>
      </x:c>
      <x:c r="H132" s="2"/>
      <x:c r="I132" s="2" t="s">
        <x:v>25</x:v>
      </x:c>
    </x:row>
    <x:row r="133" ht="37.95000076293945" customHeight="1">
      <x:c r="A133" s="2">
        <x:v>3</x:v>
      </x:c>
      <x:c r="B133" s="2" t="s">
        <x:v>14</x:v>
      </x:c>
      <x:c r="C133" s="2" t="s">
        <x:v>186</x:v>
      </x:c>
      <x:c r="D133" s="2" t="s">
        <x:v>173</x:v>
      </x:c>
      <x:c r="E133" s="2" t="s">
        <x:v>187</x:v>
      </x:c>
      <x:c r="F133" s="2" t="s">
        <x:v>188</x:v>
      </x:c>
      <x:c r="G133" s="2" t="s">
        <x:v>189</x:v>
      </x:c>
      <x:c r="H133" s="2"/>
      <x:c r="I133" s="2" t="s">
        <x:v>25</x:v>
      </x:c>
    </x:row>
    <x:row r="134" ht="37.95000076293945" customHeight="1">
      <x:c r="A134" s="2">
        <x:v>3</x:v>
      </x:c>
      <x:c r="B134" s="2" t="s">
        <x:v>14</x:v>
      </x:c>
      <x:c r="C134" s="2" t="s">
        <x:v>190</x:v>
      </x:c>
      <x:c r="D134" s="2" t="s">
        <x:v>191</x:v>
      </x:c>
      <x:c r="E134" s="2" t="s">
        <x:v>192</x:v>
      </x:c>
      <x:c r="F134" s="2" t="s">
        <x:v>124</x:v>
      </x:c>
      <x:c r="G134" s="2" t="s">
        <x:v>329</x:v>
      </x:c>
      <x:c r="H134" s="2"/>
      <x:c r="I134" s="2" t="s">
        <x:v>25</x:v>
      </x:c>
    </x:row>
    <x:row r="135" ht="37.95000076293945" customHeight="1">
      <x:c r="A135" s="2">
        <x:v>3</x:v>
      </x:c>
      <x:c r="B135" s="2" t="s">
        <x:v>14</x:v>
      </x:c>
      <x:c r="C135" s="2" t="s">
        <x:v>194</x:v>
      </x:c>
      <x:c r="D135" s="2" t="s">
        <x:v>191</x:v>
      </x:c>
      <x:c r="E135" s="2" t="s">
        <x:v>195</x:v>
      </x:c>
      <x:c r="F135" s="2" t="s">
        <x:v>117</x:v>
      </x:c>
      <x:c r="G135" s="2" t="s">
        <x:v>330</x:v>
      </x:c>
      <x:c r="H135" s="2"/>
      <x:c r="I135" s="2" t="s">
        <x:v>25</x:v>
      </x:c>
    </x:row>
    <x:row r="136" ht="37.95000076293945" customHeight="1">
      <x:c r="A136" s="2">
        <x:v>3</x:v>
      </x:c>
      <x:c r="B136" s="2" t="s">
        <x:v>14</x:v>
      </x:c>
      <x:c r="C136" s="2" t="s">
        <x:v>197</x:v>
      </x:c>
      <x:c r="D136" s="2" t="s">
        <x:v>191</x:v>
      </x:c>
      <x:c r="E136" s="2" t="s">
        <x:v>198</x:v>
      </x:c>
      <x:c r="F136" s="2" t="s">
        <x:v>117</x:v>
      </x:c>
      <x:c r="G136" s="2" t="s">
        <x:v>331</x:v>
      </x:c>
      <x:c r="H136" s="2"/>
      <x:c r="I136" s="2" t="s">
        <x:v>25</x:v>
      </x:c>
    </x:row>
    <x:row r="137" ht="37.95000076293945" customHeight="1">
      <x:c r="A137" s="2">
        <x:v>3</x:v>
      </x:c>
      <x:c r="B137" s="2" t="s">
        <x:v>14</x:v>
      </x:c>
      <x:c r="C137" s="2" t="s">
        <x:v>200</x:v>
      </x:c>
      <x:c r="D137" s="2" t="s">
        <x:v>191</x:v>
      </x:c>
      <x:c r="E137" s="2" t="s">
        <x:v>201</x:v>
      </x:c>
      <x:c r="F137" s="2" t="s">
        <x:v>117</x:v>
      </x:c>
      <x:c r="G137" s="2" t="s">
        <x:v>332</x:v>
      </x:c>
      <x:c r="H137" s="2"/>
      <x:c r="I137" s="2" t="s">
        <x:v>25</x:v>
      </x:c>
    </x:row>
    <x:row r="138" ht="37.95000076293945" customHeight="1">
      <x:c r="A138" s="2">
        <x:v>3</x:v>
      </x:c>
      <x:c r="B138" s="2" t="s">
        <x:v>14</x:v>
      </x:c>
      <x:c r="C138" s="2" t="s">
        <x:v>203</x:v>
      </x:c>
      <x:c r="D138" s="2" t="s">
        <x:v>191</x:v>
      </x:c>
      <x:c r="E138" s="2" t="s">
        <x:v>204</x:v>
      </x:c>
      <x:c r="F138" s="2" t="s">
        <x:v>117</x:v>
      </x:c>
      <x:c r="G138" s="2" t="s">
        <x:v>333</x:v>
      </x:c>
      <x:c r="H138" s="2"/>
      <x:c r="I138" s="2" t="s">
        <x:v>25</x:v>
      </x:c>
    </x:row>
    <x:row r="139" ht="37.95000076293945" customHeight="1">
      <x:c r="A139" s="2">
        <x:v>3</x:v>
      </x:c>
      <x:c r="B139" s="2" t="s">
        <x:v>14</x:v>
      </x:c>
      <x:c r="C139" s="2" t="s">
        <x:v>206</x:v>
      </x:c>
      <x:c r="D139" s="2" t="s">
        <x:v>191</x:v>
      </x:c>
      <x:c r="E139" s="2" t="s">
        <x:v>207</x:v>
      </x:c>
      <x:c r="F139" s="2" t="s">
        <x:v>117</x:v>
      </x:c>
      <x:c r="G139" s="2" t="s">
        <x:v>334</x:v>
      </x:c>
      <x:c r="H139" s="2"/>
      <x:c r="I139" s="2" t="s">
        <x:v>25</x:v>
      </x:c>
    </x:row>
    <x:row r="140" ht="37.95000076293945" customHeight="1">
      <x:c r="A140" s="2">
        <x:v>3</x:v>
      </x:c>
      <x:c r="B140" s="2" t="s">
        <x:v>14</x:v>
      </x:c>
      <x:c r="C140" s="2" t="s">
        <x:v>209</x:v>
      </x:c>
      <x:c r="D140" s="2" t="s">
        <x:v>210</x:v>
      </x:c>
      <x:c r="E140" s="2" t="s">
        <x:v>211</x:v>
      </x:c>
      <x:c r="F140" s="2" t="s">
        <x:v>117</x:v>
      </x:c>
      <x:c r="G140" s="2" t="s">
        <x:v>335</x:v>
      </x:c>
      <x:c r="H140" s="2"/>
      <x:c r="I140" s="2" t="s">
        <x:v>25</x:v>
      </x:c>
    </x:row>
    <x:row r="141" ht="37.95000076293945" customHeight="1">
      <x:c r="A141" s="2">
        <x:v>3</x:v>
      </x:c>
      <x:c r="B141" s="2" t="s">
        <x:v>14</x:v>
      </x:c>
      <x:c r="C141" s="2" t="s">
        <x:v>213</x:v>
      </x:c>
      <x:c r="D141" s="2" t="s">
        <x:v>210</x:v>
      </x:c>
      <x:c r="E141" s="2" t="s">
        <x:v>214</x:v>
      </x:c>
      <x:c r="F141" s="2" t="s">
        <x:v>117</x:v>
      </x:c>
      <x:c r="G141" s="2" t="s">
        <x:v>215</x:v>
      </x:c>
      <x:c r="H141" s="2"/>
      <x:c r="I141" s="2" t="s">
        <x:v>25</x:v>
      </x:c>
    </x:row>
    <x:row r="142" ht="37.95000076293945" customHeight="1">
      <x:c r="A142" s="2">
        <x:v>3</x:v>
      </x:c>
      <x:c r="B142" s="2" t="s">
        <x:v>14</x:v>
      </x:c>
      <x:c r="C142" s="2" t="s">
        <x:v>216</x:v>
      </x:c>
      <x:c r="D142" s="2" t="s">
        <x:v>210</x:v>
      </x:c>
      <x:c r="E142" s="2" t="s">
        <x:v>217</x:v>
      </x:c>
      <x:c r="F142" s="2" t="s">
        <x:v>117</x:v>
      </x:c>
      <x:c r="G142" s="2" t="s">
        <x:v>336</x:v>
      </x:c>
      <x:c r="H142" s="2"/>
      <x:c r="I142" s="2" t="s">
        <x:v>25</x:v>
      </x:c>
    </x:row>
    <x:row r="143" ht="37.95000076293945" customHeight="1">
      <x:c r="A143" s="2">
        <x:v>3</x:v>
      </x:c>
      <x:c r="B143" s="2" t="s">
        <x:v>14</x:v>
      </x:c>
      <x:c r="C143" s="2" t="s">
        <x:v>219</x:v>
      </x:c>
      <x:c r="D143" s="2" t="s">
        <x:v>210</x:v>
      </x:c>
      <x:c r="E143" s="2" t="s">
        <x:v>220</x:v>
      </x:c>
      <x:c r="F143" s="2" t="s">
        <x:v>117</x:v>
      </x:c>
      <x:c r="G143" s="2" t="s">
        <x:v>221</x:v>
      </x:c>
      <x:c r="H143" s="2"/>
      <x:c r="I143" s="2" t="s">
        <x:v>25</x:v>
      </x:c>
    </x:row>
    <x:row r="144" ht="37.95000076293945" customHeight="1">
      <x:c r="A144" s="2">
        <x:v>3</x:v>
      </x:c>
      <x:c r="B144" s="2" t="s">
        <x:v>14</x:v>
      </x:c>
      <x:c r="C144" s="2" t="s">
        <x:v>222</x:v>
      </x:c>
      <x:c r="D144" s="2" t="s">
        <x:v>210</x:v>
      </x:c>
      <x:c r="E144" s="2" t="s">
        <x:v>223</x:v>
      </x:c>
      <x:c r="F144" s="2" t="s">
        <x:v>117</x:v>
      </x:c>
      <x:c r="G144" s="2" t="s">
        <x:v>337</x:v>
      </x:c>
      <x:c r="H144" s="2"/>
      <x:c r="I144" s="2" t="s">
        <x:v>25</x:v>
      </x:c>
    </x:row>
    <x:row r="145" ht="37.95000076293945" customHeight="1">
      <x:c r="A145" s="2">
        <x:v>3</x:v>
      </x:c>
      <x:c r="B145" s="2" t="s">
        <x:v>14</x:v>
      </x:c>
      <x:c r="C145" s="2" t="s">
        <x:v>225</x:v>
      </x:c>
      <x:c r="D145" s="2" t="s">
        <x:v>226</x:v>
      </x:c>
      <x:c r="E145" s="2" t="s">
        <x:v>227</x:v>
      </x:c>
      <x:c r="F145" s="2" t="s">
        <x:v>117</x:v>
      </x:c>
      <x:c r="G145" s="2" t="s">
        <x:v>338</x:v>
      </x:c>
      <x:c r="H145" s="2"/>
      <x:c r="I145" s="2" t="s">
        <x:v>25</x:v>
      </x:c>
    </x:row>
    <x:row r="146" ht="37.95000076293945" customHeight="1">
      <x:c r="A146" s="2">
        <x:v>3</x:v>
      </x:c>
      <x:c r="B146" s="2" t="s">
        <x:v>14</x:v>
      </x:c>
      <x:c r="C146" s="2" t="s">
        <x:v>229</x:v>
      </x:c>
      <x:c r="D146" s="2" t="s">
        <x:v>226</x:v>
      </x:c>
      <x:c r="E146" s="2" t="s">
        <x:v>230</x:v>
      </x:c>
      <x:c r="F146" s="2" t="s">
        <x:v>117</x:v>
      </x:c>
      <x:c r="G146" s="2" t="s">
        <x:v>339</x:v>
      </x:c>
      <x:c r="H146" s="2"/>
      <x:c r="I146" s="2" t="s">
        <x:v>25</x:v>
      </x:c>
    </x:row>
    <x:row r="147" ht="37.95000076293945" customHeight="1">
      <x:c r="A147" s="2">
        <x:v>3</x:v>
      </x:c>
      <x:c r="B147" s="2" t="s">
        <x:v>14</x:v>
      </x:c>
      <x:c r="C147" s="2" t="s">
        <x:v>232</x:v>
      </x:c>
      <x:c r="D147" s="2" t="s">
        <x:v>226</x:v>
      </x:c>
      <x:c r="E147" s="2" t="s">
        <x:v>233</x:v>
      </x:c>
      <x:c r="F147" s="2" t="str">
        <x:v>NEEDS IMPROVEMENT</x:v>
      </x:c>
      <x:c r="G147" s="2" t="str">
        <x:v>Where child-resistant packaging is relevant, buyer guidance should distinguish claimed closure styles from verified performance and applicable requirements.</x:v>
      </x:c>
      <x:c r="H147" s="2" t="str">
        <x:v>MY-B03-04</x:v>
      </x:c>
      <x:c r="I147" s="2" t="str">
        <x:v>L255–258 · https://print247.us/post/complete-guide-to-mylar-bag-closure-styles-and-sealing-methods</x:v>
      </x:c>
    </x:row>
    <x:row r="148" ht="37.95000076293945" customHeight="1">
      <x:c r="A148" s="2">
        <x:v>3</x:v>
      </x:c>
      <x:c r="B148" s="2" t="s">
        <x:v>14</x:v>
      </x:c>
      <x:c r="C148" s="2" t="s">
        <x:v>234</x:v>
      </x:c>
      <x:c r="D148" s="2" t="s">
        <x:v>226</x:v>
      </x:c>
      <x:c r="E148" s="2" t="s">
        <x:v>235</x:v>
      </x:c>
      <x:c r="F148" s="2" t="s">
        <x:v>91</x:v>
      </x:c>
      <x:c r="G148" s="2" t="s">
        <x:v>340</x:v>
      </x:c>
      <x:c r="H148" s="2" t="s">
        <x:v>96</x:v>
      </x:c>
      <x:c r="I148" s="2" t="s">
        <x:v>341</x:v>
      </x:c>
    </x:row>
    <x:row r="149" ht="37.95000076293945" customHeight="1">
      <x:c r="A149" s="2">
        <x:v>3</x:v>
      </x:c>
      <x:c r="B149" s="2" t="s">
        <x:v>14</x:v>
      </x:c>
      <x:c r="C149" s="2" t="s">
        <x:v>236</x:v>
      </x:c>
      <x:c r="D149" s="2" t="s">
        <x:v>226</x:v>
      </x:c>
      <x:c r="E149" s="2" t="s">
        <x:v>237</x:v>
      </x:c>
      <x:c r="F149" s="2" t="s">
        <x:v>117</x:v>
      </x:c>
      <x:c r="G149" s="2" t="s">
        <x:v>238</x:v>
      </x:c>
      <x:c r="H149" s="2"/>
      <x:c r="I149" s="2" t="s">
        <x:v>25</x:v>
      </x:c>
    </x:row>
    <x:row r="150" ht="37.95000076293945" customHeight="1">
      <x:c r="A150" s="2">
        <x:v>3</x:v>
      </x:c>
      <x:c r="B150" s="2" t="s">
        <x:v>14</x:v>
      </x:c>
      <x:c r="C150" s="2" t="s">
        <x:v>239</x:v>
      </x:c>
      <x:c r="D150" s="2" t="s">
        <x:v>226</x:v>
      </x:c>
      <x:c r="E150" s="2" t="s">
        <x:v>240</x:v>
      </x:c>
      <x:c r="F150" s="2" t="s">
        <x:v>117</x:v>
      </x:c>
      <x:c r="G150" s="2" t="s">
        <x:v>241</x:v>
      </x:c>
      <x:c r="H150" s="2"/>
      <x:c r="I150" s="2" t="s">
        <x:v>25</x:v>
      </x:c>
    </x:row>
    <x:row r="151" ht="37.95000076293945" customHeight="1">
      <x:c r="A151" s="2">
        <x:v>3</x:v>
      </x:c>
      <x:c r="B151" s="2" t="s">
        <x:v>14</x:v>
      </x:c>
      <x:c r="C151" s="2" t="s">
        <x:v>242</x:v>
      </x:c>
      <x:c r="D151" s="2" t="s">
        <x:v>243</x:v>
      </x:c>
      <x:c r="E151" s="2" t="s">
        <x:v>244</x:v>
      </x:c>
      <x:c r="F151" s="2" t="s">
        <x:v>117</x:v>
      </x:c>
      <x:c r="G151" s="2" t="s">
        <x:v>245</x:v>
      </x:c>
      <x:c r="H151" s="2"/>
      <x:c r="I151" s="2" t="s">
        <x:v>25</x:v>
      </x:c>
    </x:row>
    <x:row r="152" ht="37.95000076293945" customHeight="1">
      <x:c r="A152" s="2">
        <x:v>3</x:v>
      </x:c>
      <x:c r="B152" s="2" t="s">
        <x:v>14</x:v>
      </x:c>
      <x:c r="C152" s="2" t="s">
        <x:v>246</x:v>
      </x:c>
      <x:c r="D152" s="2" t="s">
        <x:v>243</x:v>
      </x:c>
      <x:c r="E152" s="2" t="s">
        <x:v>247</x:v>
      </x:c>
      <x:c r="F152" s="2" t="s">
        <x:v>117</x:v>
      </x:c>
      <x:c r="G152" s="2" t="s">
        <x:v>248</x:v>
      </x:c>
      <x:c r="H152" s="2"/>
      <x:c r="I152" s="2" t="s">
        <x:v>25</x:v>
      </x:c>
    </x:row>
    <x:row r="153" ht="37.95000076293945" customHeight="1">
      <x:c r="A153" s="2">
        <x:v>3</x:v>
      </x:c>
      <x:c r="B153" s="2" t="s">
        <x:v>14</x:v>
      </x:c>
      <x:c r="C153" s="2" t="s">
        <x:v>249</x:v>
      </x:c>
      <x:c r="D153" s="2" t="s">
        <x:v>243</x:v>
      </x:c>
      <x:c r="E153" s="2" t="s">
        <x:v>250</x:v>
      </x:c>
      <x:c r="F153" s="2" t="s">
        <x:v>117</x:v>
      </x:c>
      <x:c r="G153" s="2" t="s">
        <x:v>251</x:v>
      </x:c>
      <x:c r="H153" s="2"/>
      <x:c r="I153" s="2" t="s">
        <x:v>25</x:v>
      </x:c>
    </x:row>
    <x:row r="154" ht="37.95000076293945" customHeight="1">
      <x:c r="A154" s="2">
        <x:v>3</x:v>
      </x:c>
      <x:c r="B154" s="2" t="s">
        <x:v>14</x:v>
      </x:c>
      <x:c r="C154" s="2" t="s">
        <x:v>252</x:v>
      </x:c>
      <x:c r="D154" s="2" t="s">
        <x:v>243</x:v>
      </x:c>
      <x:c r="E154" s="2" t="s">
        <x:v>253</x:v>
      </x:c>
      <x:c r="F154" s="2" t="s">
        <x:v>188</x:v>
      </x:c>
      <x:c r="G154" s="2" t="s">
        <x:v>254</x:v>
      </x:c>
      <x:c r="H154" s="2"/>
      <x:c r="I154" s="2" t="s">
        <x:v>25</x:v>
      </x:c>
    </x:row>
    <x:row r="155" ht="37.95000076293945" customHeight="1">
      <x:c r="A155" s="2">
        <x:v>3</x:v>
      </x:c>
      <x:c r="B155" s="2" t="s">
        <x:v>14</x:v>
      </x:c>
      <x:c r="C155" s="2" t="s">
        <x:v>255</x:v>
      </x:c>
      <x:c r="D155" s="2" t="s">
        <x:v>243</x:v>
      </x:c>
      <x:c r="E155" s="2" t="s">
        <x:v>256</x:v>
      </x:c>
      <x:c r="F155" s="2" t="s">
        <x:v>188</x:v>
      </x:c>
      <x:c r="G155" s="2" t="s">
        <x:v>257</x:v>
      </x:c>
      <x:c r="H155" s="2"/>
      <x:c r="I155" s="2" t="s">
        <x:v>25</x:v>
      </x:c>
    </x:row>
    <x:row r="156" ht="37.95000076293945" customHeight="1">
      <x:c r="A156" s="2">
        <x:v>3</x:v>
      </x:c>
      <x:c r="B156" s="2" t="s">
        <x:v>14</x:v>
      </x:c>
      <x:c r="C156" s="2" t="s">
        <x:v>258</x:v>
      </x:c>
      <x:c r="D156" s="2" t="s">
        <x:v>259</x:v>
      </x:c>
      <x:c r="E156" s="2" t="s">
        <x:v>260</x:v>
      </x:c>
      <x:c r="F156" s="2" t="s">
        <x:v>124</x:v>
      </x:c>
      <x:c r="G156" s="2" t="s">
        <x:v>261</x:v>
      </x:c>
      <x:c r="H156" s="2"/>
      <x:c r="I156" s="2" t="s">
        <x:v>25</x:v>
      </x:c>
    </x:row>
    <x:row r="157" ht="37.95000076293945" customHeight="1">
      <x:c r="A157" s="2">
        <x:v>3</x:v>
      </x:c>
      <x:c r="B157" s="2" t="s">
        <x:v>14</x:v>
      </x:c>
      <x:c r="C157" s="2" t="s">
        <x:v>262</x:v>
      </x:c>
      <x:c r="D157" s="2" t="s">
        <x:v>259</x:v>
      </x:c>
      <x:c r="E157" s="2" t="s">
        <x:v>263</x:v>
      </x:c>
      <x:c r="F157" s="2" t="s">
        <x:v>117</x:v>
      </x:c>
      <x:c r="G157" s="2" t="s">
        <x:v>264</x:v>
      </x:c>
      <x:c r="H157" s="2"/>
      <x:c r="I157" s="2" t="s">
        <x:v>25</x:v>
      </x:c>
    </x:row>
    <x:row r="158" ht="37.95000076293945" customHeight="1">
      <x:c r="A158" s="2">
        <x:v>3</x:v>
      </x:c>
      <x:c r="B158" s="2" t="s">
        <x:v>14</x:v>
      </x:c>
      <x:c r="C158" s="2" t="s">
        <x:v>265</x:v>
      </x:c>
      <x:c r="D158" s="2" t="s">
        <x:v>259</x:v>
      </x:c>
      <x:c r="E158" s="2" t="s">
        <x:v>266</x:v>
      </x:c>
      <x:c r="F158" s="2" t="s">
        <x:v>124</x:v>
      </x:c>
      <x:c r="G158" s="2" t="s">
        <x:v>267</x:v>
      </x:c>
      <x:c r="H158" s="2"/>
      <x:c r="I158" s="2" t="s">
        <x:v>25</x:v>
      </x:c>
    </x:row>
    <x:row r="159" ht="37.95000076293945" customHeight="1">
      <x:c r="A159" s="2">
        <x:v>3</x:v>
      </x:c>
      <x:c r="B159" s="2" t="s">
        <x:v>14</x:v>
      </x:c>
      <x:c r="C159" s="2" t="s">
        <x:v>268</x:v>
      </x:c>
      <x:c r="D159" s="2" t="s">
        <x:v>259</x:v>
      </x:c>
      <x:c r="E159" s="2" t="s">
        <x:v>269</x:v>
      </x:c>
      <x:c r="F159" s="2" t="s">
        <x:v>124</x:v>
      </x:c>
      <x:c r="G159" s="2" t="s">
        <x:v>270</x:v>
      </x:c>
      <x:c r="H159" s="2"/>
      <x:c r="I159" s="2" t="s">
        <x:v>25</x:v>
      </x:c>
    </x:row>
    <x:row r="160" ht="37.95000076293945" customHeight="1">
      <x:c r="A160" s="2">
        <x:v>3</x:v>
      </x:c>
      <x:c r="B160" s="2" t="s">
        <x:v>14</x:v>
      </x:c>
      <x:c r="C160" s="2" t="s">
        <x:v>271</x:v>
      </x:c>
      <x:c r="D160" s="2" t="s">
        <x:v>259</x:v>
      </x:c>
      <x:c r="E160" s="2" t="s">
        <x:v>272</x:v>
      </x:c>
      <x:c r="F160" s="2" t="s">
        <x:v>124</x:v>
      </x:c>
      <x:c r="G160" s="2" t="s">
        <x:v>273</x:v>
      </x:c>
      <x:c r="H160" s="2"/>
      <x:c r="I160" s="2" t="s">
        <x:v>25</x:v>
      </x:c>
    </x:row>
    <x:row r="161" ht="37.95000076293945" customHeight="1">
      <x:c r="A161" s="2">
        <x:v>3</x:v>
      </x:c>
      <x:c r="B161" s="2" t="s">
        <x:v>14</x:v>
      </x:c>
      <x:c r="C161" s="2" t="s">
        <x:v>274</x:v>
      </x:c>
      <x:c r="D161" s="2" t="s">
        <x:v>259</x:v>
      </x:c>
      <x:c r="E161" s="2" t="s">
        <x:v>275</x:v>
      </x:c>
      <x:c r="F161" s="2" t="s">
        <x:v>124</x:v>
      </x:c>
      <x:c r="G161" s="2" t="s">
        <x:v>276</x:v>
      </x:c>
      <x:c r="H161" s="2"/>
      <x:c r="I161" s="2" t="s">
        <x:v>25</x:v>
      </x:c>
    </x:row>
    <x:row r="162" ht="37.95000076293945" customHeight="1">
      <x:c r="A162" s="2"/>
      <x:c r="B162" s="2"/>
      <x:c r="C162" s="2"/>
      <x:c r="D162" s="2"/>
      <x:c r="E162" s="2"/>
      <x:c r="F162" s="2"/>
      <x:c r="G162" s="2"/>
      <x:c r="H162" s="2"/>
      <x:c r="I162" s="2"/>
    </x:row>
    <x:row r="163" ht="37.95000076293945" customHeight="1">
      <x:c r="A163" s="2"/>
      <x:c r="B163" s="2"/>
      <x:c r="C163" s="2"/>
      <x:c r="D163" s="2"/>
      <x:c r="E163" s="2"/>
      <x:c r="F163" s="2"/>
      <x:c r="G163" s="2"/>
      <x:c r="H163" s="2"/>
      <x:c r="I163" s="2"/>
    </x:row>
    <x:row r="164" ht="37.95000076293945" customHeight="1">
      <x:c r="A164" s="2"/>
      <x:c r="B164" s="2"/>
      <x:c r="C164" s="2"/>
      <x:c r="D164" s="2"/>
      <x:c r="E164" s="2"/>
      <x:c r="F164" s="2"/>
      <x:c r="G164" s="2"/>
      <x:c r="H164" s="2"/>
      <x:c r="I164" s="2"/>
    </x:row>
    <x:row r="165" ht="37.95000076293945" customHeight="1">
      <x:c r="A165" s="2"/>
      <x:c r="B165" s="2"/>
      <x:c r="C165" s="2"/>
      <x:c r="D165" s="2"/>
      <x:c r="E165" s="2"/>
      <x:c r="F165" s="2"/>
      <x:c r="G165" s="2"/>
      <x:c r="H165" s="2"/>
      <x:c r="I165" s="2"/>
    </x:row>
    <x:row r="166" ht="37.95000076293945" customHeight="1">
      <x:c r="A166" s="2"/>
      <x:c r="B166" s="2"/>
      <x:c r="C166" s="2"/>
      <x:c r="D166" s="2"/>
      <x:c r="E166" s="2"/>
      <x:c r="F166" s="2"/>
      <x:c r="G166" s="2"/>
      <x:c r="H166" s="2"/>
      <x:c r="I166" s="2"/>
    </x:row>
    <x:row r="167" ht="37.95000076293945" customHeight="1">
      <x:c r="A167" s="2"/>
      <x:c r="B167" s="2"/>
      <x:c r="C167" s="2"/>
      <x:c r="D167" s="2"/>
      <x:c r="E167" s="2"/>
      <x:c r="F167" s="2"/>
      <x:c r="G167" s="2"/>
      <x:c r="H167" s="2"/>
      <x:c r="I167" s="2"/>
    </x:row>
    <x:row r="168" ht="37.95000076293945" customHeight="1">
      <x:c r="A168" s="2"/>
      <x:c r="B168" s="2"/>
      <x:c r="C168" s="2"/>
      <x:c r="D168" s="2"/>
      <x:c r="E168" s="2"/>
      <x:c r="F168" s="2"/>
      <x:c r="G168" s="2"/>
      <x:c r="H168" s="2"/>
      <x:c r="I168" s="2"/>
    </x:row>
    <x:row r="169" ht="37.95000076293945" customHeight="1">
      <x:c r="A169" s="2"/>
      <x:c r="B169" s="2"/>
      <x:c r="C169" s="2"/>
      <x:c r="D169" s="2"/>
      <x:c r="E169" s="2"/>
      <x:c r="F169" s="2"/>
      <x:c r="G169" s="2"/>
      <x:c r="H169" s="2"/>
      <x:c r="I169" s="2"/>
    </x:row>
    <x:row r="170" ht="37.95000076293945" customHeight="1">
      <x:c r="A170" s="2"/>
      <x:c r="B170" s="2"/>
      <x:c r="C170" s="2"/>
      <x:c r="D170" s="2"/>
      <x:c r="E170" s="2"/>
      <x:c r="F170" s="2"/>
      <x:c r="G170" s="2"/>
      <x:c r="H170" s="2"/>
      <x:c r="I170" s="2"/>
    </x:row>
    <x:row r="171" ht="37.95000076293945" customHeight="1">
      <x:c r="A171" s="2"/>
      <x:c r="B171" s="2"/>
      <x:c r="C171" s="2"/>
      <x:c r="D171" s="2"/>
      <x:c r="E171" s="2"/>
      <x:c r="F171" s="2"/>
      <x:c r="G171" s="2"/>
      <x:c r="H171" s="2"/>
      <x:c r="I171" s="2"/>
    </x:row>
    <x:row r="172" ht="37.95000076293945" customHeight="1">
      <x:c r="A172" s="2"/>
      <x:c r="B172" s="2"/>
      <x:c r="C172" s="2"/>
      <x:c r="D172" s="2"/>
      <x:c r="E172" s="2"/>
      <x:c r="F172" s="2"/>
      <x:c r="G172" s="2"/>
      <x:c r="H172" s="2"/>
      <x:c r="I172" s="2"/>
    </x:row>
    <x:row r="173" ht="37.95000076293945" customHeight="1">
      <x:c r="A173" s="2"/>
      <x:c r="B173" s="2"/>
      <x:c r="C173" s="2"/>
      <x:c r="D173" s="2"/>
      <x:c r="E173" s="2"/>
      <x:c r="F173" s="2"/>
      <x:c r="G173" s="2"/>
      <x:c r="H173" s="2"/>
      <x:c r="I173" s="2"/>
    </x:row>
    <x:row r="174" ht="37.95000076293945" customHeight="1">
      <x:c r="A174" s="2"/>
      <x:c r="B174" s="2"/>
      <x:c r="C174" s="2"/>
      <x:c r="D174" s="2"/>
      <x:c r="E174" s="2"/>
      <x:c r="F174" s="2"/>
      <x:c r="G174" s="2"/>
      <x:c r="H174" s="2"/>
      <x:c r="I174" s="2"/>
    </x:row>
    <x:row r="175" ht="37.95000076293945" customHeight="1">
      <x:c r="A175" s="2"/>
      <x:c r="B175" s="2"/>
      <x:c r="C175" s="2"/>
      <x:c r="D175" s="2"/>
      <x:c r="E175" s="2"/>
      <x:c r="F175" s="2"/>
      <x:c r="G175" s="2"/>
      <x:c r="H175" s="2"/>
      <x:c r="I175" s="2"/>
    </x:row>
    <x:row r="176" ht="37.95000076293945" customHeight="1">
      <x:c r="A176" s="2"/>
      <x:c r="B176" s="2"/>
      <x:c r="C176" s="2"/>
      <x:c r="D176" s="2"/>
      <x:c r="E176" s="2"/>
      <x:c r="F176" s="2"/>
      <x:c r="G176" s="2"/>
      <x:c r="H176" s="2"/>
      <x:c r="I176" s="2"/>
    </x:row>
    <x:row r="177" ht="37.95000076293945" customHeight="1">
      <x:c r="A177" s="2"/>
      <x:c r="B177" s="2"/>
      <x:c r="C177" s="2"/>
      <x:c r="D177" s="2"/>
      <x:c r="E177" s="2"/>
      <x:c r="F177" s="2"/>
      <x:c r="G177" s="2"/>
      <x:c r="H177" s="2"/>
      <x:c r="I177" s="2"/>
    </x:row>
    <x:row r="178" ht="37.95000076293945" customHeight="1">
      <x:c r="A178" s="2"/>
      <x:c r="B178" s="2"/>
      <x:c r="C178" s="2"/>
      <x:c r="D178" s="2"/>
      <x:c r="E178" s="2"/>
      <x:c r="F178" s="2"/>
      <x:c r="G178" s="2"/>
      <x:c r="H178" s="2"/>
      <x:c r="I178" s="2"/>
    </x:row>
    <x:row r="179" ht="37.95000076293945" customHeight="1">
      <x:c r="A179" s="2"/>
      <x:c r="B179" s="2"/>
      <x:c r="C179" s="2"/>
      <x:c r="D179" s="2"/>
      <x:c r="E179" s="2"/>
      <x:c r="F179" s="2"/>
      <x:c r="G179" s="2"/>
      <x:c r="H179" s="2"/>
      <x:c r="I179" s="2"/>
    </x:row>
    <x:row r="180" ht="37.95000076293945" customHeight="1">
      <x:c r="A180" s="2"/>
      <x:c r="B180" s="2"/>
      <x:c r="C180" s="2"/>
      <x:c r="D180" s="2"/>
      <x:c r="E180" s="2"/>
      <x:c r="F180" s="2"/>
      <x:c r="G180" s="2"/>
      <x:c r="H180" s="2"/>
      <x:c r="I180" s="2"/>
    </x:row>
    <x:row r="181" ht="37.95000076293945" customHeight="1">
      <x:c r="A181" s="2"/>
      <x:c r="B181" s="2"/>
      <x:c r="C181" s="2"/>
      <x:c r="D181" s="2"/>
      <x:c r="E181" s="2"/>
      <x:c r="F181" s="2"/>
      <x:c r="G181" s="2"/>
      <x:c r="H181" s="2"/>
      <x:c r="I181" s="2"/>
    </x:row>
    <x:row r="182" ht="37.95000076293945" customHeight="1">
      <x:c r="A182" s="2"/>
      <x:c r="B182" s="2"/>
      <x:c r="C182" s="2"/>
      <x:c r="D182" s="2"/>
      <x:c r="E182" s="2"/>
      <x:c r="F182" s="2"/>
      <x:c r="G182" s="2"/>
      <x:c r="H182" s="2"/>
      <x:c r="I182" s="2"/>
    </x:row>
    <x:row r="183" ht="37.95000076293945" customHeight="1">
      <x:c r="A183" s="2"/>
      <x:c r="B183" s="2"/>
      <x:c r="C183" s="2"/>
      <x:c r="D183" s="2"/>
      <x:c r="E183" s="2"/>
      <x:c r="F183" s="2"/>
      <x:c r="G183" s="2"/>
      <x:c r="H183" s="2"/>
      <x:c r="I183" s="2"/>
    </x:row>
    <x:row r="184" ht="37.95000076293945" customHeight="1">
      <x:c r="A184" s="2"/>
      <x:c r="B184" s="2"/>
      <x:c r="C184" s="2"/>
      <x:c r="D184" s="2"/>
      <x:c r="E184" s="2"/>
      <x:c r="F184" s="2"/>
      <x:c r="G184" s="2"/>
      <x:c r="H184" s="2"/>
      <x:c r="I184" s="2"/>
    </x:row>
    <x:row r="185" ht="37.95000076293945" customHeight="1">
      <x:c r="A185" s="2"/>
      <x:c r="B185" s="2"/>
      <x:c r="C185" s="2"/>
      <x:c r="D185" s="2"/>
      <x:c r="E185" s="2"/>
      <x:c r="F185" s="2"/>
      <x:c r="G185" s="2"/>
      <x:c r="H185" s="2"/>
      <x:c r="I185" s="2"/>
    </x:row>
    <x:row r="186" ht="37.95000076293945" customHeight="1">
      <x:c r="A186" s="2"/>
      <x:c r="B186" s="2"/>
      <x:c r="C186" s="2"/>
      <x:c r="D186" s="2"/>
      <x:c r="E186" s="2"/>
      <x:c r="F186" s="2"/>
      <x:c r="G186" s="2"/>
      <x:c r="H186" s="2"/>
      <x:c r="I186" s="2"/>
    </x:row>
    <x:row r="187" ht="37.95000076293945" customHeight="1">
      <x:c r="A187" s="2"/>
      <x:c r="B187" s="2"/>
      <x:c r="C187" s="2"/>
      <x:c r="D187" s="2"/>
      <x:c r="E187" s="2"/>
      <x:c r="F187" s="2"/>
      <x:c r="G187" s="2"/>
      <x:c r="H187" s="2"/>
      <x:c r="I187" s="2"/>
    </x:row>
    <x:row r="188" ht="37.95000076293945" customHeight="1">
      <x:c r="A188" s="2"/>
      <x:c r="B188" s="2"/>
      <x:c r="C188" s="2"/>
      <x:c r="D188" s="2"/>
      <x:c r="E188" s="2"/>
      <x:c r="F188" s="2"/>
      <x:c r="G188" s="2"/>
      <x:c r="H188" s="2"/>
      <x:c r="I188" s="2"/>
    </x:row>
    <x:row r="189" ht="37.95000076293945" customHeight="1">
      <x:c r="A189" s="2"/>
      <x:c r="B189" s="2"/>
      <x:c r="C189" s="2"/>
      <x:c r="D189" s="2"/>
      <x:c r="E189" s="2"/>
      <x:c r="F189" s="2"/>
      <x:c r="G189" s="2"/>
      <x:c r="H189" s="2"/>
      <x:c r="I189" s="2"/>
    </x:row>
    <x:row r="190" ht="37.95000076293945" customHeight="1">
      <x:c r="A190" s="2"/>
      <x:c r="B190" s="2"/>
      <x:c r="C190" s="2"/>
      <x:c r="D190" s="2"/>
      <x:c r="E190" s="2"/>
      <x:c r="F190" s="2"/>
      <x:c r="G190" s="2"/>
      <x:c r="H190" s="2"/>
      <x:c r="I190" s="2"/>
    </x:row>
    <x:row r="191" ht="37.95000076293945" customHeight="1">
      <x:c r="A191" s="2"/>
      <x:c r="B191" s="2"/>
      <x:c r="C191" s="2"/>
      <x:c r="D191" s="2"/>
      <x:c r="E191" s="2"/>
      <x:c r="F191" s="2"/>
      <x:c r="G191" s="2"/>
      <x:c r="H191" s="2"/>
      <x:c r="I191" s="2"/>
    </x:row>
    <x:row r="192" ht="37.95000076293945" customHeight="1">
      <x:c r="A192" s="2"/>
      <x:c r="B192" s="2"/>
      <x:c r="C192" s="2"/>
      <x:c r="D192" s="2"/>
      <x:c r="E192" s="2"/>
      <x:c r="F192" s="2"/>
      <x:c r="G192" s="2"/>
      <x:c r="H192" s="2"/>
      <x:c r="I192" s="2"/>
    </x:row>
    <x:row r="193" ht="37.95000076293945" customHeight="1">
      <x:c r="A193" s="2"/>
      <x:c r="B193" s="2"/>
      <x:c r="C193" s="2"/>
      <x:c r="D193" s="2"/>
      <x:c r="E193" s="2"/>
      <x:c r="F193" s="2"/>
      <x:c r="G193" s="2"/>
      <x:c r="H193" s="2"/>
      <x:c r="I193" s="2"/>
    </x:row>
    <x:row r="194" ht="37.95000076293945" customHeight="1">
      <x:c r="A194" s="2"/>
      <x:c r="B194" s="2"/>
      <x:c r="C194" s="2"/>
      <x:c r="D194" s="2"/>
      <x:c r="E194" s="2"/>
      <x:c r="F194" s="2"/>
      <x:c r="G194" s="2"/>
      <x:c r="H194" s="2"/>
      <x:c r="I194" s="2"/>
    </x:row>
    <x:row r="195" ht="37.95000076293945" customHeight="1">
      <x:c r="A195" s="2"/>
      <x:c r="B195" s="2"/>
      <x:c r="C195" s="2"/>
      <x:c r="D195" s="2"/>
      <x:c r="E195" s="2"/>
      <x:c r="F195" s="2"/>
      <x:c r="G195" s="2"/>
      <x:c r="H195" s="2"/>
      <x:c r="I195" s="2"/>
    </x:row>
    <x:row r="196" ht="37.95000076293945" customHeight="1">
      <x:c r="A196" s="2"/>
      <x:c r="B196" s="2"/>
      <x:c r="C196" s="2"/>
      <x:c r="D196" s="2"/>
      <x:c r="E196" s="2"/>
      <x:c r="F196" s="2"/>
      <x:c r="G196" s="2"/>
      <x:c r="H196" s="2"/>
      <x:c r="I196" s="2"/>
    </x:row>
    <x:row r="197" ht="37.95000076293945" customHeight="1">
      <x:c r="A197" s="2"/>
      <x:c r="B197" s="2"/>
      <x:c r="C197" s="2"/>
      <x:c r="D197" s="2"/>
      <x:c r="E197" s="2"/>
      <x:c r="F197" s="2"/>
      <x:c r="G197" s="2"/>
      <x:c r="H197" s="2"/>
      <x:c r="I197" s="2"/>
    </x:row>
    <x:row r="198" ht="37.95000076293945" customHeight="1">
      <x:c r="A198" s="2"/>
      <x:c r="B198" s="2"/>
      <x:c r="C198" s="2"/>
      <x:c r="D198" s="2"/>
      <x:c r="E198" s="2"/>
      <x:c r="F198" s="2"/>
      <x:c r="G198" s="2"/>
      <x:c r="H198" s="2"/>
      <x:c r="I198" s="2"/>
    </x:row>
    <x:row r="199" ht="37.95000076293945" customHeight="1">
      <x:c r="A199" s="2"/>
      <x:c r="B199" s="2"/>
      <x:c r="C199" s="2"/>
      <x:c r="D199" s="2"/>
      <x:c r="E199" s="2"/>
      <x:c r="F199" s="2"/>
      <x:c r="G199" s="2"/>
      <x:c r="H199" s="2"/>
      <x:c r="I199" s="2"/>
    </x:row>
    <x:row r="200" ht="37.95000076293945" customHeight="1">
      <x:c r="A200" s="2"/>
      <x:c r="B200" s="2"/>
      <x:c r="C200" s="2"/>
      <x:c r="D200" s="2"/>
      <x:c r="E200" s="2"/>
      <x:c r="F200" s="2"/>
      <x:c r="G200" s="2"/>
      <x:c r="H200" s="2"/>
      <x:c r="I200" s="2"/>
    </x:row>
    <x:row r="201" ht="37.95000076293945" customHeight="1">
      <x:c r="A201" s="2"/>
      <x:c r="B201" s="2"/>
      <x:c r="C201" s="2"/>
      <x:c r="D201" s="2"/>
      <x:c r="E201" s="2"/>
      <x:c r="F201" s="2"/>
      <x:c r="G201" s="2"/>
      <x:c r="H201" s="2"/>
      <x:c r="I201" s="2"/>
    </x:row>
    <x:row r="202" ht="37.95000076293945" customHeight="1">
      <x:c r="A202" s="2"/>
      <x:c r="B202" s="2"/>
      <x:c r="C202" s="2"/>
      <x:c r="D202" s="2"/>
      <x:c r="E202" s="2"/>
      <x:c r="F202" s="2"/>
      <x:c r="G202" s="2"/>
      <x:c r="H202" s="2"/>
      <x:c r="I202" s="2"/>
    </x:row>
    <x:row r="203" ht="37.95000076293945" customHeight="1">
      <x:c r="A203" s="2"/>
      <x:c r="B203" s="2"/>
      <x:c r="C203" s="2"/>
      <x:c r="D203" s="2"/>
      <x:c r="E203" s="2"/>
      <x:c r="F203" s="2"/>
      <x:c r="G203" s="2"/>
      <x:c r="H203" s="2"/>
      <x:c r="I203" s="2"/>
    </x:row>
    <x:row r="204" ht="37.95000076293945" customHeight="1">
      <x:c r="A204" s="2"/>
      <x:c r="B204" s="2"/>
      <x:c r="C204" s="2"/>
      <x:c r="D204" s="2"/>
      <x:c r="E204" s="2"/>
      <x:c r="F204" s="2"/>
      <x:c r="G204" s="2"/>
      <x:c r="H204" s="2"/>
      <x:c r="I204" s="2"/>
    </x:row>
    <x:row r="205" ht="37.95000076293945" customHeight="1">
      <x:c r="A205" s="2"/>
      <x:c r="B205" s="2"/>
      <x:c r="C205" s="2"/>
      <x:c r="D205" s="2"/>
      <x:c r="E205" s="2"/>
      <x:c r="F205" s="2"/>
      <x:c r="G205" s="2"/>
      <x:c r="H205" s="2"/>
      <x:c r="I205" s="2"/>
    </x:row>
    <x:row r="206" ht="37.95000076293945" customHeight="1">
      <x:c r="A206" s="2"/>
      <x:c r="B206" s="2"/>
      <x:c r="C206" s="2"/>
      <x:c r="D206" s="2"/>
      <x:c r="E206" s="2"/>
      <x:c r="F206" s="2"/>
      <x:c r="G206" s="2"/>
      <x:c r="H206" s="2"/>
      <x:c r="I206" s="2"/>
    </x:row>
    <x:row r="207" ht="37.95000076293945" customHeight="1">
      <x:c r="A207" s="2"/>
      <x:c r="B207" s="2"/>
      <x:c r="C207" s="2"/>
      <x:c r="D207" s="2"/>
      <x:c r="E207" s="2"/>
      <x:c r="F207" s="2"/>
      <x:c r="G207" s="2"/>
      <x:c r="H207" s="2"/>
      <x:c r="I207" s="2"/>
    </x:row>
    <x:row r="208" ht="37.95000076293945" customHeight="1">
      <x:c r="A208" s="2"/>
      <x:c r="B208" s="2"/>
      <x:c r="C208" s="2"/>
      <x:c r="D208" s="2"/>
      <x:c r="E208" s="2"/>
      <x:c r="F208" s="2"/>
      <x:c r="G208" s="2"/>
      <x:c r="H208" s="2"/>
      <x:c r="I208" s="2"/>
    </x:row>
    <x:row r="209" ht="37.95000076293945" customHeight="1">
      <x:c r="A209" s="2"/>
      <x:c r="B209" s="2"/>
      <x:c r="C209" s="2"/>
      <x:c r="D209" s="2"/>
      <x:c r="E209" s="2"/>
      <x:c r="F209" s="2"/>
      <x:c r="G209" s="2"/>
      <x:c r="H209" s="2"/>
      <x:c r="I209" s="2"/>
    </x:row>
    <x:row r="210" ht="37.95000076293945" customHeight="1">
      <x:c r="A210" s="2"/>
      <x:c r="B210" s="2"/>
      <x:c r="C210" s="2"/>
      <x:c r="D210" s="2"/>
      <x:c r="E210" s="2"/>
      <x:c r="F210" s="2"/>
      <x:c r="G210" s="2"/>
      <x:c r="H210" s="2"/>
      <x:c r="I210" s="2"/>
    </x:row>
    <x:row r="211" ht="37.95000076293945" customHeight="1">
      <x:c r="A211" s="2"/>
      <x:c r="B211" s="2"/>
      <x:c r="C211" s="2"/>
      <x:c r="D211" s="2"/>
      <x:c r="E211" s="2"/>
      <x:c r="F211" s="2"/>
      <x:c r="G211" s="2"/>
      <x:c r="H211" s="2"/>
      <x:c r="I211" s="2"/>
    </x:row>
    <x:row r="212" ht="37.95000076293945" customHeight="1">
      <x:c r="A212" s="2"/>
      <x:c r="B212" s="2"/>
      <x:c r="C212" s="2"/>
      <x:c r="D212" s="2"/>
      <x:c r="E212" s="2"/>
      <x:c r="F212" s="2"/>
      <x:c r="G212" s="2"/>
      <x:c r="H212" s="2"/>
      <x:c r="I212" s="2"/>
    </x:row>
    <x:row r="213" ht="37.95000076293945" customHeight="1">
      <x:c r="A213" s="2"/>
      <x:c r="B213" s="2"/>
      <x:c r="C213" s="2"/>
      <x:c r="D213" s="2"/>
      <x:c r="E213" s="2"/>
      <x:c r="F213" s="2"/>
      <x:c r="G213" s="2"/>
      <x:c r="H213" s="2"/>
      <x:c r="I213" s="2"/>
    </x:row>
    <x:row r="214" ht="37.95000076293945" customHeight="1">
      <x:c r="A214" s="2"/>
      <x:c r="B214" s="2"/>
      <x:c r="C214" s="2"/>
      <x:c r="D214" s="2"/>
      <x:c r="E214" s="2"/>
      <x:c r="F214" s="2"/>
      <x:c r="G214" s="2"/>
      <x:c r="H214" s="2"/>
      <x:c r="I214" s="2"/>
    </x:row>
    <x:row r="215" ht="37.95000076293945" customHeight="1">
      <x:c r="A215" s="2"/>
      <x:c r="B215" s="2"/>
      <x:c r="C215" s="2"/>
      <x:c r="D215" s="2"/>
      <x:c r="E215" s="2"/>
      <x:c r="F215" s="2"/>
      <x:c r="G215" s="2"/>
      <x:c r="H215" s="2"/>
      <x:c r="I215" s="2"/>
    </x:row>
    <x:row r="216" ht="37.95000076293945" customHeight="1">
      <x:c r="A216" s="2"/>
      <x:c r="B216" s="2"/>
      <x:c r="C216" s="2"/>
      <x:c r="D216" s="2"/>
      <x:c r="E216" s="2"/>
      <x:c r="F216" s="2"/>
      <x:c r="G216" s="2"/>
      <x:c r="H216" s="2"/>
      <x:c r="I216" s="2"/>
    </x:row>
    <x:row r="217" ht="37.95000076293945" customHeight="1">
      <x:c r="A217" s="2"/>
      <x:c r="B217" s="2"/>
      <x:c r="C217" s="2"/>
      <x:c r="D217" s="2"/>
      <x:c r="E217" s="2"/>
      <x:c r="F217" s="2"/>
      <x:c r="G217" s="2"/>
      <x:c r="H217" s="2"/>
      <x:c r="I217" s="2"/>
    </x:row>
    <x:row r="218" ht="37.95000076293945" customHeight="1">
      <x:c r="A218" s="2"/>
      <x:c r="B218" s="2"/>
      <x:c r="C218" s="2"/>
      <x:c r="D218" s="2"/>
      <x:c r="E218" s="2"/>
      <x:c r="F218" s="2"/>
      <x:c r="G218" s="2"/>
      <x:c r="H218" s="2"/>
      <x:c r="I218" s="2"/>
    </x:row>
    <x:row r="219" ht="37.95000076293945" customHeight="1">
      <x:c r="A219" s="2"/>
      <x:c r="B219" s="2"/>
      <x:c r="C219" s="2"/>
      <x:c r="D219" s="2"/>
      <x:c r="E219" s="2"/>
      <x:c r="F219" s="2"/>
      <x:c r="G219" s="2"/>
      <x:c r="H219" s="2"/>
      <x:c r="I219" s="2"/>
    </x:row>
    <x:row r="220" ht="37.95000076293945" customHeight="1">
      <x:c r="A220" s="2"/>
      <x:c r="B220" s="2"/>
      <x:c r="C220" s="2"/>
      <x:c r="D220" s="2"/>
      <x:c r="E220" s="2"/>
      <x:c r="F220" s="2"/>
      <x:c r="G220" s="2"/>
      <x:c r="H220" s="2"/>
      <x:c r="I220" s="2"/>
    </x:row>
    <x:row r="221" ht="37.95000076293945" customHeight="1">
      <x:c r="A221" s="2"/>
      <x:c r="B221" s="2"/>
      <x:c r="C221" s="2"/>
      <x:c r="D221" s="2"/>
      <x:c r="E221" s="2"/>
      <x:c r="F221" s="2"/>
      <x:c r="G221" s="2"/>
      <x:c r="H221" s="2"/>
      <x:c r="I221" s="2"/>
    </x:row>
    <x:row r="222" ht="37.95000076293945" customHeight="1">
      <x:c r="A222" s="2"/>
      <x:c r="B222" s="2"/>
      <x:c r="C222" s="2"/>
      <x:c r="D222" s="2"/>
      <x:c r="E222" s="2"/>
      <x:c r="F222" s="2"/>
      <x:c r="G222" s="2"/>
      <x:c r="H222" s="2"/>
      <x:c r="I222" s="2"/>
    </x:row>
    <x:row r="223" ht="37.95000076293945" customHeight="1">
      <x:c r="A223" s="2"/>
      <x:c r="B223" s="2"/>
      <x:c r="C223" s="2"/>
      <x:c r="D223" s="2"/>
      <x:c r="E223" s="2"/>
      <x:c r="F223" s="2"/>
      <x:c r="G223" s="2"/>
      <x:c r="H223" s="2"/>
      <x:c r="I223" s="2"/>
    </x:row>
    <x:row r="224" ht="37.95000076293945" customHeight="1">
      <x:c r="A224" s="2"/>
      <x:c r="B224" s="2"/>
      <x:c r="C224" s="2"/>
      <x:c r="D224" s="2"/>
      <x:c r="E224" s="2"/>
      <x:c r="F224" s="2"/>
      <x:c r="G224" s="2"/>
      <x:c r="H224" s="2"/>
      <x:c r="I224" s="2"/>
    </x:row>
    <x:row r="225" ht="37.95000076293945" customHeight="1">
      <x:c r="A225" s="2"/>
      <x:c r="B225" s="2"/>
      <x:c r="C225" s="2"/>
      <x:c r="D225" s="2"/>
      <x:c r="E225" s="2"/>
      <x:c r="F225" s="2"/>
      <x:c r="G225" s="2"/>
      <x:c r="H225" s="2"/>
      <x:c r="I225" s="2"/>
    </x:row>
    <x:row r="226" ht="37.95000076293945" customHeight="1">
      <x:c r="A226" s="2"/>
      <x:c r="B226" s="2"/>
      <x:c r="C226" s="2"/>
      <x:c r="D226" s="2"/>
      <x:c r="E226" s="2"/>
      <x:c r="F226" s="2"/>
      <x:c r="G226" s="2"/>
      <x:c r="H226" s="2"/>
      <x:c r="I226" s="2"/>
    </x:row>
    <x:row r="227" ht="37.95000076293945" customHeight="1">
      <x:c r="A227" s="2"/>
      <x:c r="B227" s="2"/>
      <x:c r="C227" s="2"/>
      <x:c r="D227" s="2"/>
      <x:c r="E227" s="2"/>
      <x:c r="F227" s="2"/>
      <x:c r="G227" s="2"/>
      <x:c r="H227" s="2"/>
      <x:c r="I227" s="2"/>
    </x:row>
    <x:row r="228" ht="37.95000076293945" customHeight="1">
      <x:c r="A228" s="2"/>
      <x:c r="B228" s="2"/>
      <x:c r="C228" s="2"/>
      <x:c r="D228" s="2"/>
      <x:c r="E228" s="2"/>
      <x:c r="F228" s="2"/>
      <x:c r="G228" s="2"/>
      <x:c r="H228" s="2"/>
      <x:c r="I228" s="2"/>
    </x:row>
    <x:row r="229" ht="37.95000076293945" customHeight="1">
      <x:c r="A229" s="2"/>
      <x:c r="B229" s="2"/>
      <x:c r="C229" s="2"/>
      <x:c r="D229" s="2"/>
      <x:c r="E229" s="2"/>
      <x:c r="F229" s="2"/>
      <x:c r="G229" s="2"/>
      <x:c r="H229" s="2"/>
      <x:c r="I229" s="2"/>
    </x:row>
    <x:row r="230" ht="37.95000076293945" customHeight="1">
      <x:c r="A230" s="2"/>
      <x:c r="B230" s="2"/>
      <x:c r="C230" s="2"/>
      <x:c r="D230" s="2"/>
      <x:c r="E230" s="2"/>
      <x:c r="F230" s="2"/>
      <x:c r="G230" s="2"/>
      <x:c r="H230" s="2"/>
      <x:c r="I230" s="2"/>
    </x:row>
    <x:row r="231" ht="37.95000076293945" customHeight="1">
      <x:c r="A231" s="2"/>
      <x:c r="B231" s="2"/>
      <x:c r="C231" s="2"/>
      <x:c r="D231" s="2"/>
      <x:c r="E231" s="2"/>
      <x:c r="F231" s="2"/>
      <x:c r="G231" s="2"/>
      <x:c r="H231" s="2"/>
      <x:c r="I231" s="2"/>
    </x:row>
    <x:row r="232" ht="37.95000076293945" customHeight="1">
      <x:c r="A232" s="2"/>
      <x:c r="B232" s="2"/>
      <x:c r="C232" s="2"/>
      <x:c r="D232" s="2"/>
      <x:c r="E232" s="2"/>
      <x:c r="F232" s="2"/>
      <x:c r="G232" s="2"/>
      <x:c r="H232" s="2"/>
      <x:c r="I232" s="2"/>
    </x:row>
    <x:row r="233" ht="37.95000076293945" customHeight="1">
      <x:c r="A233" s="2"/>
      <x:c r="B233" s="2"/>
      <x:c r="C233" s="2"/>
      <x:c r="D233" s="2"/>
      <x:c r="E233" s="2"/>
      <x:c r="F233" s="2"/>
      <x:c r="G233" s="2"/>
      <x:c r="H233" s="2"/>
      <x:c r="I233" s="2"/>
    </x:row>
    <x:row r="234" ht="37.95000076293945" customHeight="1">
      <x:c r="A234" s="2"/>
      <x:c r="B234" s="2"/>
      <x:c r="C234" s="2"/>
      <x:c r="D234" s="2"/>
      <x:c r="E234" s="2"/>
      <x:c r="F234" s="2"/>
      <x:c r="G234" s="2"/>
      <x:c r="H234" s="2"/>
      <x:c r="I234" s="2"/>
    </x:row>
    <x:row r="235" ht="37.95000076293945" customHeight="1">
      <x:c r="A235" s="2"/>
      <x:c r="B235" s="2"/>
      <x:c r="C235" s="2"/>
      <x:c r="D235" s="2"/>
      <x:c r="E235" s="2"/>
      <x:c r="F235" s="2"/>
      <x:c r="G235" s="2"/>
      <x:c r="H235" s="2"/>
      <x:c r="I235" s="2"/>
    </x:row>
    <x:row r="236" ht="37.95000076293945" customHeight="1">
      <x:c r="A236" s="2"/>
      <x:c r="B236" s="2"/>
      <x:c r="C236" s="2"/>
      <x:c r="D236" s="2"/>
      <x:c r="E236" s="2"/>
      <x:c r="F236" s="2"/>
      <x:c r="G236" s="2"/>
      <x:c r="H236" s="2"/>
      <x:c r="I236" s="2"/>
    </x:row>
    <x:row r="237" ht="37.95000076293945" customHeight="1">
      <x:c r="A237" s="2"/>
      <x:c r="B237" s="2"/>
      <x:c r="C237" s="2"/>
      <x:c r="D237" s="2"/>
      <x:c r="E237" s="2"/>
      <x:c r="F237" s="2"/>
      <x:c r="G237" s="2"/>
      <x:c r="H237" s="2"/>
      <x:c r="I237" s="2"/>
    </x:row>
    <x:row r="238" ht="37.95000076293945" customHeight="1">
      <x:c r="A238" s="2"/>
      <x:c r="B238" s="2"/>
      <x:c r="C238" s="2"/>
      <x:c r="D238" s="2"/>
      <x:c r="E238" s="2"/>
      <x:c r="F238" s="2"/>
      <x:c r="G238" s="2"/>
      <x:c r="H238" s="2"/>
      <x:c r="I238" s="2"/>
    </x:row>
    <x:row r="239" ht="37.95000076293945" customHeight="1">
      <x:c r="A239" s="2"/>
      <x:c r="B239" s="2"/>
      <x:c r="C239" s="2"/>
      <x:c r="D239" s="2"/>
      <x:c r="E239" s="2"/>
      <x:c r="F239" s="2"/>
      <x:c r="G239" s="2"/>
      <x:c r="H239" s="2"/>
      <x:c r="I239" s="2"/>
    </x:row>
    <x:row r="240" ht="37.95000076293945" customHeight="1">
      <x:c r="A240" s="2"/>
      <x:c r="B240" s="2"/>
      <x:c r="C240" s="2"/>
      <x:c r="D240" s="2"/>
      <x:c r="E240" s="2"/>
      <x:c r="F240" s="2"/>
      <x:c r="G240" s="2"/>
      <x:c r="H240" s="2"/>
      <x:c r="I240" s="2"/>
    </x:row>
    <x:row r="241" ht="37.95000076293945" customHeight="1">
      <x:c r="A241" s="2"/>
      <x:c r="B241" s="2"/>
      <x:c r="C241" s="2"/>
      <x:c r="D241" s="2"/>
      <x:c r="E241" s="2"/>
      <x:c r="F241" s="2"/>
      <x:c r="G241" s="2"/>
      <x:c r="H241" s="2"/>
      <x:c r="I241" s="2"/>
    </x:row>
    <x:row r="242" ht="37.95000076293945" customHeight="1">
      <x:c r="A242" s="2"/>
      <x:c r="B242" s="2"/>
      <x:c r="C242" s="2"/>
      <x:c r="D242" s="2"/>
      <x:c r="E242" s="2"/>
      <x:c r="F242" s="2"/>
      <x:c r="G242" s="2"/>
      <x:c r="H242" s="2"/>
      <x:c r="I242" s="2"/>
    </x:row>
    <x:row r="243" ht="37.95000076293945" customHeight="1">
      <x:c r="A243" s="2"/>
      <x:c r="B243" s="2"/>
      <x:c r="C243" s="2"/>
      <x:c r="D243" s="2"/>
      <x:c r="E243" s="2"/>
      <x:c r="F243" s="2"/>
      <x:c r="G243" s="2"/>
      <x:c r="H243" s="2"/>
      <x:c r="I243" s="2"/>
    </x:row>
    <x:row r="244" ht="37.95000076293945" customHeight="1">
      <x:c r="A244" s="2"/>
      <x:c r="B244" s="2"/>
      <x:c r="C244" s="2"/>
      <x:c r="D244" s="2"/>
      <x:c r="E244" s="2"/>
      <x:c r="F244" s="2"/>
      <x:c r="G244" s="2"/>
      <x:c r="H244" s="2"/>
      <x:c r="I244" s="2"/>
    </x:row>
    <x:row r="245" ht="37.95000076293945" customHeight="1">
      <x:c r="A245" s="2"/>
      <x:c r="B245" s="2"/>
      <x:c r="C245" s="2"/>
      <x:c r="D245" s="2"/>
      <x:c r="E245" s="2"/>
      <x:c r="F245" s="2"/>
      <x:c r="G245" s="2"/>
      <x:c r="H245" s="2"/>
      <x:c r="I245" s="2"/>
    </x:row>
    <x:row r="246" ht="37.95000076293945" customHeight="1">
      <x:c r="A246" s="2"/>
      <x:c r="B246" s="2"/>
      <x:c r="C246" s="2"/>
      <x:c r="D246" s="2"/>
      <x:c r="E246" s="2"/>
      <x:c r="F246" s="2"/>
      <x:c r="G246" s="2"/>
      <x:c r="H246" s="2"/>
      <x:c r="I246" s="2"/>
    </x:row>
    <x:row r="247" ht="37.95000076293945" customHeight="1">
      <x:c r="A247" s="2"/>
      <x:c r="B247" s="2"/>
      <x:c r="C247" s="2"/>
      <x:c r="D247" s="2"/>
      <x:c r="E247" s="2"/>
      <x:c r="F247" s="2"/>
      <x:c r="G247" s="2"/>
      <x:c r="H247" s="2"/>
      <x:c r="I247" s="2"/>
    </x:row>
    <x:row r="248" ht="37.95000076293945" customHeight="1">
      <x:c r="A248" s="2"/>
      <x:c r="B248" s="2"/>
      <x:c r="C248" s="2"/>
      <x:c r="D248" s="2"/>
      <x:c r="E248" s="2"/>
      <x:c r="F248" s="2"/>
      <x:c r="G248" s="2"/>
      <x:c r="H248" s="2"/>
      <x:c r="I248" s="2"/>
    </x:row>
    <x:row r="249" ht="37.95000076293945" customHeight="1">
      <x:c r="A249" s="2"/>
      <x:c r="B249" s="2"/>
      <x:c r="C249" s="2"/>
      <x:c r="D249" s="2"/>
      <x:c r="E249" s="2"/>
      <x:c r="F249" s="2"/>
      <x:c r="G249" s="2"/>
      <x:c r="H249" s="2"/>
      <x:c r="I249" s="2"/>
    </x:row>
    <x:row r="250" ht="37.95000076293945" customHeight="1">
      <x:c r="A250" s="2"/>
      <x:c r="B250" s="2"/>
      <x:c r="C250" s="2"/>
      <x:c r="D250" s="2"/>
      <x:c r="E250" s="2"/>
      <x:c r="F250" s="2"/>
      <x:c r="G250" s="2"/>
      <x:c r="H250" s="2"/>
      <x:c r="I250" s="2"/>
    </x:row>
    <x:row r="251" ht="37.95000076293945" customHeight="1">
      <x:c r="A251" s="2"/>
      <x:c r="B251" s="2"/>
      <x:c r="C251" s="2"/>
      <x:c r="D251" s="2"/>
      <x:c r="E251" s="2"/>
      <x:c r="F251" s="2"/>
      <x:c r="G251" s="2"/>
      <x:c r="H251" s="2"/>
      <x:c r="I251" s="2"/>
    </x:row>
    <x:row r="252" ht="37.95000076293945" customHeight="1">
      <x:c r="A252" s="2"/>
      <x:c r="B252" s="2"/>
      <x:c r="C252" s="2"/>
      <x:c r="D252" s="2"/>
      <x:c r="E252" s="2"/>
      <x:c r="F252" s="2"/>
      <x:c r="G252" s="2"/>
      <x:c r="H252" s="2"/>
      <x:c r="I252" s="2"/>
    </x:row>
    <x:row r="253" ht="37.95000076293945" customHeight="1">
      <x:c r="A253" s="2"/>
      <x:c r="B253" s="2"/>
      <x:c r="C253" s="2"/>
      <x:c r="D253" s="2"/>
      <x:c r="E253" s="2"/>
      <x:c r="F253" s="2"/>
      <x:c r="G253" s="2"/>
      <x:c r="H253" s="2"/>
      <x:c r="I253" s="2"/>
    </x:row>
    <x:row r="254" ht="37.95000076293945" customHeight="1">
      <x:c r="A254" s="2"/>
      <x:c r="B254" s="2"/>
      <x:c r="C254" s="2"/>
      <x:c r="D254" s="2"/>
      <x:c r="E254" s="2"/>
      <x:c r="F254" s="2"/>
      <x:c r="G254" s="2"/>
      <x:c r="H254" s="2"/>
      <x:c r="I254" s="2"/>
    </x:row>
    <x:row r="255" ht="37.95000076293945" customHeight="1">
      <x:c r="A255" s="2"/>
      <x:c r="B255" s="2"/>
      <x:c r="C255" s="2"/>
      <x:c r="D255" s="2"/>
      <x:c r="E255" s="2"/>
      <x:c r="F255" s="2"/>
      <x:c r="G255" s="2"/>
      <x:c r="H255" s="2"/>
      <x:c r="I255" s="2"/>
    </x:row>
    <x:row r="256" ht="37.95000076293945" customHeight="1">
      <x:c r="A256" s="2"/>
      <x:c r="B256" s="2"/>
      <x:c r="C256" s="2"/>
      <x:c r="D256" s="2"/>
      <x:c r="E256" s="2"/>
      <x:c r="F256" s="2"/>
      <x:c r="G256" s="2"/>
      <x:c r="H256" s="2"/>
      <x:c r="I256" s="2"/>
    </x:row>
    <x:row r="257" ht="37.95000076293945" customHeight="1">
      <x:c r="A257" s="2"/>
      <x:c r="B257" s="2"/>
      <x:c r="C257" s="2"/>
      <x:c r="D257" s="2"/>
      <x:c r="E257" s="2"/>
      <x:c r="F257" s="2"/>
      <x:c r="G257" s="2"/>
      <x:c r="H257" s="2"/>
      <x:c r="I257" s="2"/>
    </x:row>
    <x:row r="258" ht="37.95000076293945" customHeight="1">
      <x:c r="A258" s="2"/>
      <x:c r="B258" s="2"/>
      <x:c r="C258" s="2"/>
      <x:c r="D258" s="2"/>
      <x:c r="E258" s="2"/>
      <x:c r="F258" s="2"/>
      <x:c r="G258" s="2"/>
      <x:c r="H258" s="2"/>
      <x:c r="I258" s="2"/>
    </x:row>
    <x:row r="259" ht="37.95000076293945" customHeight="1">
      <x:c r="A259" s="2"/>
      <x:c r="B259" s="2"/>
      <x:c r="C259" s="2"/>
      <x:c r="D259" s="2"/>
      <x:c r="E259" s="2"/>
      <x:c r="F259" s="2"/>
      <x:c r="G259" s="2"/>
      <x:c r="H259" s="2"/>
      <x:c r="I259" s="2"/>
    </x:row>
    <x:row r="260" ht="37.95000076293945" customHeight="1">
      <x:c r="A260" s="2"/>
      <x:c r="B260" s="2"/>
      <x:c r="C260" s="2"/>
      <x:c r="D260" s="2"/>
      <x:c r="E260" s="2"/>
      <x:c r="F260" s="2"/>
      <x:c r="G260" s="2"/>
      <x:c r="H260" s="2"/>
      <x:c r="I260" s="2"/>
    </x:row>
    <x:row r="261" ht="37.95000076293945" customHeight="1">
      <x:c r="A261" s="2"/>
      <x:c r="B261" s="2"/>
      <x:c r="C261" s="2"/>
      <x:c r="D261" s="2"/>
      <x:c r="E261" s="2"/>
      <x:c r="F261" s="2"/>
      <x:c r="G261" s="2"/>
      <x:c r="H261" s="2"/>
      <x:c r="I261" s="2"/>
    </x:row>
    <x:row r="262" ht="37.95000076293945" customHeight="1">
      <x:c r="A262" s="2"/>
      <x:c r="B262" s="2"/>
      <x:c r="C262" s="2"/>
      <x:c r="D262" s="2"/>
      <x:c r="E262" s="2"/>
      <x:c r="F262" s="2"/>
      <x:c r="G262" s="2"/>
      <x:c r="H262" s="2"/>
      <x:c r="I262" s="2"/>
    </x:row>
    <x:row r="263" ht="37.95000076293945" customHeight="1">
      <x:c r="A263" s="2"/>
      <x:c r="B263" s="2"/>
      <x:c r="C263" s="2"/>
      <x:c r="D263" s="2"/>
      <x:c r="E263" s="2"/>
      <x:c r="F263" s="2"/>
      <x:c r="G263" s="2"/>
      <x:c r="H263" s="2"/>
      <x:c r="I263" s="2"/>
    </x:row>
    <x:row r="264" ht="37.95000076293945" customHeight="1">
      <x:c r="A264" s="2"/>
      <x:c r="B264" s="2"/>
      <x:c r="C264" s="2"/>
      <x:c r="D264" s="2"/>
      <x:c r="E264" s="2"/>
      <x:c r="F264" s="2"/>
      <x:c r="G264" s="2"/>
      <x:c r="H264" s="2"/>
      <x:c r="I264" s="2"/>
    </x:row>
    <x:row r="265" ht="37.95000076293945" customHeight="1">
      <x:c r="A265" s="2"/>
      <x:c r="B265" s="2"/>
      <x:c r="C265" s="2"/>
      <x:c r="D265" s="2"/>
      <x:c r="E265" s="2"/>
      <x:c r="F265" s="2"/>
      <x:c r="G265" s="2"/>
      <x:c r="H265" s="2"/>
      <x:c r="I265" s="2"/>
    </x:row>
  </x:sheetData>
  <x:pageMargins left="0.7" right="0.7" top="0.75" bottom="0.75" header="0.3" footer="0.3"/>
</x:worksheet>
</file>

<file path=xl/worksheets/sheet6.xml><?xml version="1.0" encoding="utf-8"?>
<x:worksheet xmlns:x="http://schemas.openxmlformats.org/spreadsheetml/2006/main">
  <x:sheetViews>
    <x:sheetView workbookViewId="0">
      <x:pane ySplit="5" topLeftCell="A6" activePane="bottomLeft" state="frozen"/>
    </x:sheetView>
  </x:sheetViews>
  <x:sheetFormatPr defaultRowHeight="13.800000190734863"/>
  <x:cols>
    <x:col min="1" max="1" width="15" customWidth="1"/>
    <x:col min="2" max="2" width="30" customWidth="1"/>
    <x:col min="3" max="3" width="109" customWidth="1"/>
    <x:col min="4" max="4" width="25" customWidth="1"/>
  </x:cols>
  <x:sheetData>
    <x:row r="1">
      <x:c r="A1" t="s">
        <x:v>342</x:v>
      </x:c>
    </x:row>
    <x:row r="3">
      <x:c r="A3" t="s">
        <x:v>343</x:v>
      </x:c>
    </x:row>
    <x:row r="5" ht="31.950000762939453" customHeight="1">
      <x:c r="A5" s="1" t="s">
        <x:v>28</x:v>
      </x:c>
      <x:c r="B5" s="1" t="s">
        <x:v>344</x:v>
      </x:c>
      <x:c r="C5" s="1" t="s">
        <x:v>345</x:v>
      </x:c>
      <x:c r="D5" s="1" t="s">
        <x:v>73</x:v>
      </x:c>
    </x:row>
    <x:row r="6" ht="60" customHeight="1">
      <x:c r="A6" s="2">
        <x:v>1</x:v>
      </x:c>
      <x:c r="B6" s="2" t="s">
        <x:v>12</x:v>
      </x:c>
      <x:c r="C6" s="2" t="s">
        <x:v>346</x:v>
      </x:c>
      <x:c r="D6" s="2" t="s">
        <x:v>22</x:v>
      </x:c>
    </x:row>
    <x:row r="7" ht="60" customHeight="1">
      <x:c r="A7" s="2">
        <x:v>1</x:v>
      </x:c>
      <x:c r="B7" s="2" t="s">
        <x:v>12</x:v>
      </x:c>
      <x:c r="C7" s="2" t="s">
        <x:v>347</x:v>
      </x:c>
      <x:c r="D7" s="2" t="s">
        <x:v>22</x:v>
      </x:c>
    </x:row>
    <x:row r="8" ht="60" customHeight="1">
      <x:c r="A8" s="2">
        <x:v>1</x:v>
      </x:c>
      <x:c r="B8" s="2" t="s">
        <x:v>12</x:v>
      </x:c>
      <x:c r="C8" s="2" t="s">
        <x:v>348</x:v>
      </x:c>
      <x:c r="D8" s="2" t="s">
        <x:v>22</x:v>
      </x:c>
    </x:row>
    <x:row r="9" ht="60" customHeight="1">
      <x:c r="A9" s="2">
        <x:v>2</x:v>
      </x:c>
      <x:c r="B9" s="2" t="s">
        <x:v>13</x:v>
      </x:c>
      <x:c r="C9" s="2" t="s">
        <x:v>349</x:v>
      </x:c>
      <x:c r="D9" s="2" t="s">
        <x:v>24</x:v>
      </x:c>
    </x:row>
    <x:row r="10" ht="60" customHeight="1">
      <x:c r="A10" s="2">
        <x:v>2</x:v>
      </x:c>
      <x:c r="B10" s="2" t="s">
        <x:v>13</x:v>
      </x:c>
      <x:c r="C10" s="2" t="s">
        <x:v>350</x:v>
      </x:c>
      <x:c r="D10" s="2" t="s">
        <x:v>24</x:v>
      </x:c>
    </x:row>
    <x:row r="11" ht="60" customHeight="1">
      <x:c r="A11" s="2">
        <x:v>2</x:v>
      </x:c>
      <x:c r="B11" s="2" t="s">
        <x:v>13</x:v>
      </x:c>
      <x:c r="C11" s="2" t="s">
        <x:v>351</x:v>
      </x:c>
      <x:c r="D11" s="2" t="s">
        <x:v>24</x:v>
      </x:c>
    </x:row>
    <x:row r="12" ht="60" customHeight="1">
      <x:c r="A12" s="2">
        <x:v>3</x:v>
      </x:c>
      <x:c r="B12" s="2" t="s">
        <x:v>14</x:v>
      </x:c>
      <x:c r="C12" s="2" t="s">
        <x:v>352</x:v>
      </x:c>
      <x:c r="D12" s="2" t="s">
        <x:v>25</x:v>
      </x:c>
    </x:row>
    <x:row r="13" ht="60" customHeight="1">
      <x:c r="A13" s="2">
        <x:v>3</x:v>
      </x:c>
      <x:c r="B13" s="2" t="s">
        <x:v>14</x:v>
      </x:c>
      <x:c r="C13" s="2" t="s">
        <x:v>353</x:v>
      </x:c>
      <x:c r="D13" s="2" t="s">
        <x:v>25</x:v>
      </x:c>
    </x:row>
    <x:row r="14" ht="60" customHeight="1">
      <x:c r="A14" s="2">
        <x:v>3</x:v>
      </x:c>
      <x:c r="B14" s="2" t="s">
        <x:v>14</x:v>
      </x:c>
      <x:c r="C14" s="2" t="s">
        <x:v>354</x:v>
      </x:c>
      <x:c r="D14" s="2" t="s">
        <x:v>25</x:v>
      </x:c>
    </x:row>
    <x:row r="15" ht="60" customHeight="1">
      <x:c r="A15" s="2"/>
      <x:c r="B15" s="2"/>
      <x:c r="C15" s="2"/>
      <x:c r="D15" s="2"/>
    </x:row>
    <x:row r="16" ht="60" customHeight="1">
      <x:c r="A16" s="2"/>
      <x:c r="B16" s="2"/>
      <x:c r="C16" s="2"/>
      <x:c r="D16" s="2"/>
    </x:row>
    <x:row r="17" ht="60" customHeight="1">
      <x:c r="A17" s="2"/>
      <x:c r="B17" s="2"/>
      <x:c r="C17" s="2"/>
      <x:c r="D17" s="2"/>
    </x:row>
    <x:row r="18" ht="60" customHeight="1">
      <x:c r="A18" s="2"/>
      <x:c r="B18" s="2"/>
      <x:c r="C18" s="2"/>
      <x:c r="D18" s="2"/>
    </x:row>
    <x:row r="19" ht="60" customHeight="1">
      <x:c r="A19" s="2"/>
      <x:c r="B19" s="2"/>
      <x:c r="C19" s="2"/>
      <x:c r="D19" s="2"/>
    </x:row>
    <x:row r="20" ht="60" customHeight="1">
      <x:c r="A20" s="2"/>
      <x:c r="B20" s="2"/>
      <x:c r="C20" s="2"/>
      <x:c r="D20" s="2"/>
    </x:row>
    <x:row r="21" ht="60" customHeight="1">
      <x:c r="A21" s="2"/>
      <x:c r="B21" s="2"/>
      <x:c r="C21" s="2"/>
      <x:c r="D21" s="2"/>
    </x:row>
  </x:sheetData>
  <x:pageMargins left="0.7" right="0.7" top="0.75" bottom="0.75" header="0.3" footer="0.3"/>
</x:worksheet>
</file>

<file path=xl/worksheets/sheet7.xml><?xml version="1.0" encoding="utf-8"?>
<x:worksheet xmlns:x="http://schemas.openxmlformats.org/spreadsheetml/2006/main">
  <x:sheetViews>
    <x:sheetView workbookViewId="0">
      <x:pane ySplit="5" topLeftCell="A6" activePane="bottomLeft" state="frozen"/>
    </x:sheetView>
  </x:sheetViews>
  <x:sheetFormatPr defaultRowHeight="13.800000190734863"/>
  <x:cols>
    <x:col min="1" max="1" width="17" customWidth="1"/>
    <x:col min="2" max="2" width="45" customWidth="1"/>
    <x:col min="3" max="3" width="25" customWidth="1"/>
    <x:col min="4" max="4" width="112" customWidth="1"/>
  </x:cols>
  <x:sheetData>
    <x:row r="1">
      <x:c r="A1" t="s">
        <x:v>355</x:v>
      </x:c>
    </x:row>
    <x:row r="3">
      <x:c r="A3" t="str">
        <x:v>Three consequential training themes. The two current red findings concern oxygen protection and are important because misleading claims can affect buyers' packaging and product-preservation decisions.</x:v>
      </x:c>
    </x:row>
    <x:row r="5" ht="31" customHeight="1">
      <x:c r="A5" s="1" t="str">
        <x:v>Priority</x:v>
      </x:c>
      <x:c r="B5" s="1" t="str">
        <x:v>Recurring mistake</x:v>
      </x:c>
      <x:c r="C5" s="1" t="str">
        <x:v>Frequency (articles)</x:v>
      </x:c>
      <x:c r="D5" s="32" t="str">
        <x:v>Personalized writer guidance</x:v>
      </x:c>
    </x:row>
    <x:row r="6" ht="105" customHeight="1">
      <x:c r="A6" s="7" t="str">
        <x:v>High</x:v>
      </x:c>
      <x:c r="B6" s="7" t="str">
        <x:v>Explain what heat sealing does—and does not do</x:v>
      </x:c>
      <x:c r="C6" s="7" t="str">
        <x:v>1 of 3 (Mylar)</x:v>
      </x:c>
      <x:c r="D6" s="33" t="str">
        <x:v>Article 3: A heat seal closes the pouch; it does not remove oxygen already inside. Oxygen protection also depends on the barrier film, residual air and seal quality. Buyers who expect an oxygen-free pack could choose unsuitable packaging and experience oxidation, shorter shelf life or loss of product quality.</x:v>
      </x:c>
    </x:row>
    <x:row r="7" ht="105" customHeight="1">
      <x:c r="A7" s="7" t="str">
        <x:v>High</x:v>
      </x:c>
      <x:c r="B7" s="7" t="str">
        <x:v>Distinguish vacuum sealing from total oxygen removal</x:v>
      </x:c>
      <x:c r="C7" s="7" t="str">
        <x:v>1 of 3 (Mylar)</x:v>
      </x:c>
      <x:c r="D7" s="33" t="str">
        <x:v>Article 3: Vacuum equipment removes much of the air, not every trace of oxygen, and vacuum sealing alone does not guarantee food safety. A buyer relying on the 'complete safety' promise may use unsuitable storage and risk spoilage or product damage. Explain suitable oxygen absorbers and product-specific storage conditions where relevant.</x:v>
      </x:c>
    </x:row>
    <x:row r="8" ht="85" customHeight="1">
      <x:c r="A8" s="7" t="str">
        <x:v>Medium</x:v>
      </x:c>
      <x:c r="B8" s="7" t="str">
        <x:v>Qualify variable pricing and regulated performance claims</x:v>
      </x:c>
      <x:c r="C8" s="7" t="str">
        <x:v>2 of 3</x:v>
      </x:c>
      <x:c r="D8" s="33" t="str">
        <x:v>Article 1: Price and MOQ ranges depend on supplier, quantity and box specifications; present them as indicative, not universal. Article 3: Verify child-resistant closure suitability for the product and applicable requirements. Report buyer-relevant qualifications, not minor style issues.</x:v>
      </x:c>
    </x:row>
    <x:row r="10" ht="25.049999237060547" customHeight="1">
      <x:c r="A10" s="14" t="str">
        <x:v>Exact replacements for the 2 currently retained red (FAIL) findings — Article 3</x:v>
      </x:c>
      <x:c r="B10" s="14"/>
      <x:c r="C10" s="14"/>
      <x:c r="D10" s="14"/>
    </x:row>
    <x:row r="11" ht="30" customHeight="1">
      <x:c r="A11" s="1" t="str">
        <x:v>No.</x:v>
      </x:c>
      <x:c r="B11" s="15" t="str">
        <x:v>Exact published article wording</x:v>
      </x:c>
      <x:c r="C11" s="15"/>
      <x:c r="D11" s="1" t="str">
        <x:v>Recommended exact replacement</x:v>
      </x:c>
    </x:row>
    <x:row r="12" ht="110" customHeight="1">
      <x:c r="A12" s="8" t="n">
        <x:v>1</x:v>
      </x:c>
      <x:c r="B12" s="33" t="str">
        <x:v>“Heat seals melt the plastic and get stuck together, blocking oxygen completely.”</x:v>
      </x:c>
      <x:c r="C12" s="16"/>
      <x:c r="D12" s="33" t="str">
        <x:v>A properly made heat seal closes the pouch and helps limit air entering through the opening. However, it does not remove oxygen already inside; the film's barrier performance, residual oxygen and seal integrity determine the protection provided.</x:v>
      </x:c>
    </x:row>
    <x:row r="13" ht="110" customHeight="1">
      <x:c r="A13" s="8" t="n">
        <x:v>2</x:v>
      </x:c>
      <x:c r="B13" s="33" t="str">
        <x:v>“Mylar bag vacuum sealer removes the oxygen first from the bag for complete safety”</x:v>
      </x:c>
      <x:c r="C13" s="16"/>
      <x:c r="D13" s="33" t="str">
        <x:v>Vacuum sealing removes much of the air before the pouch is sealed, but residual oxygen may remain. Depending on the product, suitable oxygen absorbers and verified storage conditions may provide additional protection; vacuum sealing alone does not guarantee food safety.</x:v>
      </x:c>
    </x:row>
    <x:row r="14" ht="16" customHeight="1">
      <x:c r="A14" s="8"/>
      <x:c r="B14" s="16"/>
      <x:c r="C14" s="16"/>
      <x:c r="D14" s="7"/>
    </x:row>
    <x:row r="15" ht="16" customHeight="1">
      <x:c r="A15" s="8"/>
      <x:c r="B15" s="16"/>
      <x:c r="C15" s="16"/>
      <x:c r="D15" s="7"/>
    </x:row>
    <x:row r="16" ht="36" customHeight="1">
      <x:c r="A16" s="51" t="str">
        <x:v>FINALIZED · Two retained material FAIL findings and three improvement items. Diagnostic records and all eight dimension scores have been reconciled with the approved Issues sheet.</x:v>
      </x:c>
      <x:c r="B16" s="52"/>
      <x:c r="C16" s="52"/>
      <x:c r="D16" s="52"/>
    </x:row>
    <x:row r="18" ht="30" customHeight="1">
      <x:c r="A18" s="17"/>
      <x:c r="B18" s="17"/>
      <x:c r="C18" s="17"/>
      <x:c r="D18" s="17"/>
    </x:row>
  </x:sheetData>
  <x:mergeCells>
    <x:mergeCell ref="B15:C15"/>
    <x:mergeCell ref="B16:C16"/>
    <x:mergeCell ref="A18:D18"/>
    <x:mergeCell ref="A10:D10"/>
    <x:mergeCell ref="B11:C11"/>
    <x:mergeCell ref="B12:C12"/>
    <x:mergeCell ref="B13:C13"/>
    <x:mergeCell ref="B14:C14"/>
    <x:mergeCell ref="A16:D16"/>
  </x:mergeCells>
  <x:pageMargins left="0.7" right="0.7" top="0.75" bottom="0.75" header="0.3" footer="0.3"/>
</x:worksheet>
</file>

<file path=xl/worksheets/sheet8.xml><?xml version="1.0" encoding="utf-8"?>
<x:worksheet xmlns:x="http://schemas.openxmlformats.org/spreadsheetml/2006/main">
  <x:sheetViews>
    <x:sheetView workbookViewId="0">
      <x:pane ySplit="5" topLeftCell="A6" activePane="bottomLeft" state="frozen"/>
    </x:sheetView>
  </x:sheetViews>
  <x:sheetFormatPr defaultRowHeight="13.800000190734863"/>
  <x:cols>
    <x:col min="1" max="1" width="45" customWidth="1"/>
    <x:col min="2" max="2" width="32" customWidth="1"/>
    <x:col min="3" max="3" width="56" customWidth="1"/>
    <x:col min="4" max="4" width="80" customWidth="1"/>
    <x:col min="5" max="5" width="74" customWidth="1"/>
  </x:cols>
  <x:sheetData>
    <x:row r="1">
      <x:c r="A1" t="s">
        <x:v>356</x:v>
      </x:c>
    </x:row>
    <x:row r="3">
      <x:c r="A3" t="s">
        <x:v>357</x:v>
      </x:c>
    </x:row>
    <x:row r="5" ht="31.950000762939453" customHeight="1">
      <x:c r="A5" s="1" t="s">
        <x:v>358</x:v>
      </x:c>
      <x:c r="B5" s="1" t="s">
        <x:v>359</x:v>
      </x:c>
      <x:c r="C5" s="1" t="s">
        <x:v>360</x:v>
      </x:c>
      <x:c r="D5" s="1" t="s">
        <x:v>361</x:v>
      </x:c>
      <x:c r="E5" s="1" t="s">
        <x:v>362</x:v>
      </x:c>
    </x:row>
    <x:row r="6" ht="60" customHeight="1">
      <x:c r="A6" s="2" t="s">
        <x:v>117</x:v>
      </x:c>
      <x:c r="B6" s="2" t="s">
        <x:v>363</x:v>
      </x:c>
      <x:c r="C6" s="2" t="s">
        <x:v>364</x:v>
      </x:c>
      <x:c r="D6" s="2" t="s">
        <x:v>365</x:v>
      </x:c>
      <x:c r="E6" s="2" t="s">
        <x:v>366</x:v>
      </x:c>
    </x:row>
    <x:row r="7" ht="60" customHeight="1">
      <x:c r="A7" s="2" t="s">
        <x:v>124</x:v>
      </x:c>
      <x:c r="B7" s="2" t="s">
        <x:v>367</x:v>
      </x:c>
      <x:c r="C7" s="2" t="s">
        <x:v>364</x:v>
      </x:c>
      <x:c r="D7" s="2" t="s">
        <x:v>368</x:v>
      </x:c>
      <x:c r="E7" s="2" t="s">
        <x:v>369</x:v>
      </x:c>
    </x:row>
    <x:row r="8" ht="60" customHeight="1">
      <x:c r="A8" s="2" t="s">
        <x:v>76</x:v>
      </x:c>
      <x:c r="B8" s="2" t="s">
        <x:v>370</x:v>
      </x:c>
      <x:c r="C8" s="2" t="s">
        <x:v>371</x:v>
      </x:c>
      <x:c r="D8" s="2" t="s">
        <x:v>372</x:v>
      </x:c>
      <x:c r="E8" s="2" t="s">
        <x:v>373</x:v>
      </x:c>
    </x:row>
    <x:row r="9" ht="60" customHeight="1">
      <x:c r="A9" s="2" t="s">
        <x:v>91</x:v>
      </x:c>
      <x:c r="B9" s="2" t="s">
        <x:v>374</x:v>
      </x:c>
      <x:c r="C9" s="2" t="s">
        <x:v>375</x:v>
      </x:c>
      <x:c r="D9" s="2" t="s">
        <x:v>376</x:v>
      </x:c>
      <x:c r="E9" s="2" t="s">
        <x:v>377</x:v>
      </x:c>
    </x:row>
    <x:row r="10" ht="60" customHeight="1">
      <x:c r="A10" s="2" t="s">
        <x:v>378</x:v>
      </x:c>
      <x:c r="B10" s="2" t="s">
        <x:v>379</x:v>
      </x:c>
      <x:c r="C10" s="2" t="s">
        <x:v>380</x:v>
      </x:c>
      <x:c r="D10" s="2" t="s">
        <x:v>381</x:v>
      </x:c>
      <x:c r="E10" s="2" t="s">
        <x:v>382</x:v>
      </x:c>
    </x:row>
    <x:row r="11" ht="60" customHeight="1">
      <x:c r="A11" s="2" t="s">
        <x:v>188</x:v>
      </x:c>
      <x:c r="B11" s="2" t="s">
        <x:v>383</x:v>
      </x:c>
      <x:c r="C11" s="2" t="s">
        <x:v>384</x:v>
      </x:c>
      <x:c r="D11" s="2" t="s">
        <x:v>385</x:v>
      </x:c>
      <x:c r="E11" s="2" t="s">
        <x:v>386</x:v>
      </x:c>
    </x:row>
    <x:row r="12" ht="60" customHeight="1">
      <x:c r="A12" s="2"/>
      <x:c r="B12" s="2"/>
      <x:c r="C12" s="2"/>
      <x:c r="D12" s="2"/>
      <x:c r="E12" s="2"/>
    </x:row>
    <x:row r="13" ht="60" customHeight="1">
      <x:c r="A13" s="2"/>
      <x:c r="B13" s="2"/>
      <x:c r="C13" s="2"/>
      <x:c r="D13" s="2"/>
      <x:c r="E13" s="2"/>
    </x:row>
    <x:row r="14" ht="60" customHeight="1">
      <x:c r="A14" s="2" t="s">
        <x:v>29</x:v>
      </x:c>
      <x:c r="B14" s="2" t="s">
        <x:v>387</x:v>
      </x:c>
      <x:c r="C14" s="2" t="s">
        <x:v>388</x:v>
      </x:c>
      <x:c r="D14" s="2" t="s">
        <x:v>389</x:v>
      </x:c>
      <x:c r="E14" s="2" t="s">
        <x:v>390</x:v>
      </x:c>
    </x:row>
    <x:row r="15" ht="60" customHeight="1">
      <x:c r="A15" s="2" t="s">
        <x:v>35</x:v>
      </x:c>
      <x:c r="B15" s="2">
        <x:v>15</x:v>
      </x:c>
      <x:c r="C15" s="2" t="s">
        <x:v>391</x:v>
      </x:c>
      <x:c r="D15" s="2" t="s">
        <x:v>392</x:v>
      </x:c>
      <x:c r="E15" s="2" t="s">
        <x:v>393</x:v>
      </x:c>
    </x:row>
    <x:row r="16" ht="60" customHeight="1">
      <x:c r="A16" s="2" t="s">
        <x:v>37</x:v>
      </x:c>
      <x:c r="B16" s="2">
        <x:v>15</x:v>
      </x:c>
      <x:c r="C16" s="2" t="s">
        <x:v>391</x:v>
      </x:c>
      <x:c r="D16" s="2" t="s">
        <x:v>392</x:v>
      </x:c>
      <x:c r="E16" s="2" t="s">
        <x:v>393</x:v>
      </x:c>
    </x:row>
    <x:row r="17" ht="60" customHeight="1">
      <x:c r="A17" s="2" t="s">
        <x:v>38</x:v>
      </x:c>
      <x:c r="B17" s="2">
        <x:v>20</x:v>
      </x:c>
      <x:c r="C17" s="2" t="s">
        <x:v>391</x:v>
      </x:c>
      <x:c r="D17" s="2" t="s">
        <x:v>392</x:v>
      </x:c>
      <x:c r="E17" s="2" t="s">
        <x:v>393</x:v>
      </x:c>
    </x:row>
    <x:row r="18" ht="60" customHeight="1">
      <x:c r="A18" s="2" t="s">
        <x:v>40</x:v>
      </x:c>
      <x:c r="B18" s="2">
        <x:v>15</x:v>
      </x:c>
      <x:c r="C18" s="2" t="s">
        <x:v>391</x:v>
      </x:c>
      <x:c r="D18" s="2" t="s">
        <x:v>392</x:v>
      </x:c>
      <x:c r="E18" s="2" t="s">
        <x:v>393</x:v>
      </x:c>
    </x:row>
    <x:row r="19" ht="60" customHeight="1">
      <x:c r="A19" s="2" t="s">
        <x:v>42</x:v>
      </x:c>
      <x:c r="B19" s="2">
        <x:v>10</x:v>
      </x:c>
      <x:c r="C19" s="2" t="s">
        <x:v>391</x:v>
      </x:c>
      <x:c r="D19" s="2" t="s">
        <x:v>392</x:v>
      </x:c>
      <x:c r="E19" s="2" t="s">
        <x:v>393</x:v>
      </x:c>
    </x:row>
    <x:row r="20" ht="60" customHeight="1">
      <x:c r="A20" s="2" t="s">
        <x:v>44</x:v>
      </x:c>
      <x:c r="B20" s="2">
        <x:v>10</x:v>
      </x:c>
      <x:c r="C20" s="2" t="s">
        <x:v>391</x:v>
      </x:c>
      <x:c r="D20" s="2" t="s">
        <x:v>392</x:v>
      </x:c>
      <x:c r="E20" s="2" t="s">
        <x:v>393</x:v>
      </x:c>
    </x:row>
    <x:row r="21" ht="60" customHeight="1">
      <x:c r="A21" s="2" t="s">
        <x:v>46</x:v>
      </x:c>
      <x:c r="B21" s="2">
        <x:v>10</x:v>
      </x:c>
      <x:c r="C21" s="2" t="s">
        <x:v>391</x:v>
      </x:c>
      <x:c r="D21" s="2" t="s">
        <x:v>392</x:v>
      </x:c>
      <x:c r="E21" s="2" t="s">
        <x:v>393</x:v>
      </x:c>
    </x:row>
    <x:row r="22" ht="60" customHeight="1">
      <x:c r="A22" s="2" t="s">
        <x:v>48</x:v>
      </x:c>
      <x:c r="B22" s="2">
        <x:v>5</x:v>
      </x:c>
      <x:c r="C22" s="2" t="s">
        <x:v>391</x:v>
      </x:c>
      <x:c r="D22" s="2" t="s">
        <x:v>392</x:v>
      </x:c>
      <x:c r="E22" s="2" t="s">
        <x:v>393</x:v>
      </x:c>
    </x:row>
    <x:row r="23" ht="60" customHeight="1">
      <x:c r="A23" s="2"/>
      <x:c r="B23" s="2"/>
      <x:c r="C23" s="2"/>
      <x:c r="D23" s="2"/>
      <x:c r="E23" s="2"/>
    </x:row>
    <x:row r="24" ht="60" customHeight="1">
      <x:c r="A24" s="2"/>
      <x:c r="B24" s="2"/>
      <x:c r="C24" s="2"/>
      <x:c r="D24" s="2"/>
      <x:c r="E24" s="2"/>
    </x:row>
    <x:row r="25" ht="60" customHeight="1">
      <x:c r="A25" s="2" t="s">
        <x:v>394</x:v>
      </x:c>
      <x:c r="B25" s="2"/>
      <x:c r="C25" s="2"/>
      <x:c r="D25" s="2"/>
      <x:c r="E25" s="2"/>
    </x:row>
    <x:row r="26" ht="60" customHeight="1">
      <x:c r="A26" s="2" t="s">
        <x:v>395</x:v>
      </x:c>
      <x:c r="B26" s="2" t="s">
        <x:v>396</x:v>
      </x:c>
      <x:c r="C26" s="2"/>
      <x:c r="D26" s="2"/>
      <x:c r="E26" s="2"/>
    </x:row>
    <x:row r="27" ht="60" customHeight="1">
      <x:c r="A27" s="2" t="s">
        <x:v>397</x:v>
      </x:c>
      <x:c r="B27" s="2" t="s">
        <x:v>398</x:v>
      </x:c>
      <x:c r="C27" s="2"/>
      <x:c r="D27" s="2"/>
      <x:c r="E27" s="2"/>
    </x:row>
    <x:row r="28" ht="60" customHeight="1">
      <x:c r="A28" s="2" t="s">
        <x:v>399</x:v>
      </x:c>
      <x:c r="B28" s="2" t="s">
        <x:v>400</x:v>
      </x:c>
      <x:c r="C28" s="2"/>
      <x:c r="D28" s="2"/>
      <x:c r="E28" s="2"/>
    </x:row>
    <x:row r="29" ht="60" customHeight="1">
      <x:c r="A29" s="2" t="s">
        <x:v>401</x:v>
      </x:c>
      <x:c r="B29" s="2" t="s">
        <x:v>402</x:v>
      </x:c>
      <x:c r="C29" s="2"/>
      <x:c r="D29" s="2"/>
      <x:c r="E29" s="2"/>
    </x:row>
    <x:row r="30" ht="60" customHeight="1">
      <x:c r="A30" s="2" t="s">
        <x:v>403</x:v>
      </x:c>
      <x:c r="B30" s="2" t="s">
        <x:v>404</x:v>
      </x:c>
      <x:c r="C30" s="2"/>
      <x:c r="D30" s="2"/>
      <x:c r="E30" s="2"/>
    </x:row>
    <x:row r="31" ht="60" customHeight="1">
      <x:c r="A31" s="2"/>
      <x:c r="B31" s="2"/>
      <x:c r="C31" s="2"/>
      <x:c r="D31" s="2"/>
      <x:c r="E31" s="2"/>
    </x:row>
    <x:row r="32" ht="60" customHeight="1">
      <x:c r="A32" s="2" t="s">
        <x:v>405</x:v>
      </x:c>
      <x:c r="B32" s="2"/>
      <x:c r="C32" s="2"/>
      <x:c r="D32" s="2"/>
      <x:c r="E32" s="2"/>
    </x:row>
  </x:sheetData>
  <x:pageMargins left="0.7" right="0.7" top="0.75" bottom="0.75" header="0.3" footer="0.3"/>
</x:worksheet>
</file>

<file path=xl/worksheets/sheet9.xml><?xml version="1.0" encoding="utf-8"?>
<x:worksheet xmlns:x="http://schemas.openxmlformats.org/spreadsheetml/2006/main">
  <x:sheetViews>
    <x:sheetView workbookViewId="0">
      <x:pane ySplit="1" topLeftCell="A2" activePane="bottomLeft" state="frozen"/>
    </x:sheetView>
  </x:sheetViews>
  <x:sheetFormatPr defaultRowHeight="13.800000190734863"/>
  <x:cols>
    <x:col min="1" max="1" width="19" customWidth="1"/>
    <x:col min="2" max="3" width="28" customWidth="1"/>
    <x:col min="4" max="4" width="99" customWidth="1"/>
    <x:col min="5" max="5" width="104" customWidth="1"/>
    <x:col min="6" max="6" width="70" customWidth="1"/>
  </x:cols>
  <x:sheetData>
    <x:row r="1" ht="31.950000762939453" customHeight="1">
      <x:c r="A1" s="1" t="s">
        <x:v>406</x:v>
      </x:c>
      <x:c r="B1" s="1" t="s">
        <x:v>407</x:v>
      </x:c>
      <x:c r="C1" s="1" t="s">
        <x:v>408</x:v>
      </x:c>
      <x:c r="D1" s="1" t="s">
        <x:v>409</x:v>
      </x:c>
      <x:c r="E1" s="1" t="s">
        <x:v>410</x:v>
      </x:c>
      <x:c r="F1" s="1" t="s">
        <x:v>411</x:v>
      </x:c>
    </x:row>
    <x:row r="2" ht="60" customHeight="1">
      <x:c r="A2" s="2" t="s">
        <x:v>412</x:v>
      </x:c>
      <x:c r="B2" s="2" t="s">
        <x:v>413</x:v>
      </x:c>
      <x:c r="C2" s="2" t="s">
        <x:v>124</x:v>
      </x:c>
      <x:c r="D2" s="2" t="s">
        <x:v>414</x:v>
      </x:c>
      <x:c r="E2" s="2" t="s">
        <x:v>415</x:v>
      </x:c>
      <x:c r="F2" s="2" t="s">
        <x:v>396</x:v>
      </x:c>
    </x:row>
    <x:row r="3" ht="60" customHeight="1">
      <x:c r="A3" s="2" t="s">
        <x:v>416</x:v>
      </x:c>
      <x:c r="B3" s="2" t="s">
        <x:v>413</x:v>
      </x:c>
      <x:c r="C3" s="2" t="s">
        <x:v>124</x:v>
      </x:c>
      <x:c r="D3" s="2" t="s">
        <x:v>417</x:v>
      </x:c>
      <x:c r="E3" s="2" t="s">
        <x:v>418</x:v>
      </x:c>
      <x:c r="F3" s="2" t="s">
        <x:v>419</x:v>
      </x:c>
    </x:row>
    <x:row r="4" ht="60" customHeight="1">
      <x:c r="A4" s="2" t="s">
        <x:v>420</x:v>
      </x:c>
      <x:c r="B4" s="2" t="s">
        <x:v>413</x:v>
      </x:c>
      <x:c r="C4" s="2" t="s">
        <x:v>124</x:v>
      </x:c>
      <x:c r="D4" s="2" t="s">
        <x:v>421</x:v>
      </x:c>
      <x:c r="E4" s="2" t="s">
        <x:v>422</x:v>
      </x:c>
      <x:c r="F4" s="2" t="s">
        <x:v>398</x:v>
      </x:c>
    </x:row>
    <x:row r="5" ht="60" customHeight="1">
      <x:c r="A5" s="2" t="s">
        <x:v>423</x:v>
      </x:c>
      <x:c r="B5" s="2" t="s">
        <x:v>413</x:v>
      </x:c>
      <x:c r="C5" s="2" t="s">
        <x:v>424</x:v>
      </x:c>
      <x:c r="D5" s="2" t="s">
        <x:v>425</x:v>
      </x:c>
      <x:c r="E5" s="2" t="s">
        <x:v>426</x:v>
      </x:c>
      <x:c r="F5" s="2" t="s">
        <x:v>427</x:v>
      </x:c>
    </x:row>
    <x:row r="6" ht="60" customHeight="1">
      <x:c r="A6" s="2" t="s">
        <x:v>428</x:v>
      </x:c>
      <x:c r="B6" s="2" t="s">
        <x:v>413</x:v>
      </x:c>
      <x:c r="C6" s="2" t="s">
        <x:v>188</x:v>
      </x:c>
      <x:c r="D6" s="2" t="s">
        <x:v>429</x:v>
      </x:c>
      <x:c r="E6" s="2" t="s">
        <x:v>430</x:v>
      </x:c>
      <x:c r="F6" s="2" t="s">
        <x:v>396</x:v>
      </x:c>
    </x:row>
    <x:row r="7" ht="60" customHeight="1">
      <x:c r="A7" s="2" t="str">
        <x:v>MY-B01-02</x:v>
      </x:c>
      <x:c r="B7" s="2" t="str">
        <x:v>Article 1</x:v>
      </x:c>
      <x:c r="C7" s="2" t="str">
        <x:v>NEEDS IMPROVEMENT</x:v>
      </x:c>
      <x:c r="D7" s="2" t="str">
        <x:v>Use: Custom-box prices and minimums vary by manufacturer, artwork, board grade, finish and quantity. Request comparable unit quotes; MOQ may start at hundreds or thousands, depending on the product. SIMPLY USE THE WORD 'USUALLY' before the  number</x:v>
      </x:c>
      <x:c r="E7" s="2" t="str">
        <x:v>The price premium is presented as a generalized benchmark without a quote basis, and two MOQ tables use different lower bounds. The numbers may represent valid supplier examples but cannot be treated as universal.</x:v>
      </x:c>
      <x:c r="F7" s="2" t="str">
        <x:v>https://print247.us/post/custom-retail-boxes-vs-stock-boxes-which-one-is-better</x:v>
      </x:c>
    </x:row>
    <x:row r="8" ht="60" customHeight="1">
      <x:c r="A8" s="2" t="str">
        <x:v>MY-B01-03</x:v>
      </x:c>
      <x:c r="B8" s="2" t="str">
        <x:v>Article 1</x:v>
      </x:c>
      <x:c r="C8" s="2" t="str">
        <x:v>NEEDS IMPROVEMENT</x:v>
      </x:c>
      <x:c r="D8" s="2" t="str">
        <x:v>Replace second sentence with: Stock boxes are typically available in standard sizes and finishes; many are plain, but preprinted or colored options also exist.</x:v>
      </x:c>
      <x:c r="E8" s="2" t="str">
        <x:v>Off-the-shelf boxes are defined mainly by standard sizes and ready availability; some are white, colored or preprinted. This is a modest buyer-facing terminology refinement, not a major failure.</x:v>
      </x:c>
      <x:c r="F8" s="2" t="str">
        <x:v>https://print247.us/post/custom-retail-boxes-vs-stock-boxes-which-one-is-better</x:v>
      </x:c>
    </x:row>
    <x:row r="9" ht="60" customHeight="1">
      <x:c r="A9" s="2" t="str">
        <x:v>MY-B03-02</x:v>
      </x:c>
      <x:c r="B9" s="2" t="str">
        <x:v>Article 3</x:v>
      </x:c>
      <x:c r="C9" s="2" t="str">
        <x:v>FAIL</x:v>
      </x:c>
      <x:c r="D9" s="2" t="str">
        <x:v>Replace with: A properly made heat seal closes the pouch and helps limit air entering through the opening. However, it does not remove oxygen already inside; the film's barrier performance, residual oxygen and seal integrity determine the protection provided.</x:v>
      </x:c>
      <x:c r="E9" s="2" t="str">
        <x:v>A heat seal closes the pouch opening, but cannot remove oxygen already trapped inside. Buyers may assume complete oxygen protection and choose unsuitable packaging, risking oxidation, reduced shelf life, or product quality loss. Actual performance depends on barrier film, headspace oxygen and seal integrity.</x:v>
      </x:c>
      <x:c r="F9" s="2" t="str">
        <x:v>https://print247.us/post/complete-guide-to-mylar-bag-closure-styles-and-sealing-methods</x:v>
      </x:c>
    </x:row>
    <x:row r="10" ht="85.05000305175781" customHeight="1">
      <x:c r="A10" s="2" t="str">
        <x:v>MY-B03-03</x:v>
      </x:c>
      <x:c r="B10" s="2" t="str">
        <x:v>Article 3</x:v>
      </x:c>
      <x:c r="C10" s="2" t="str">
        <x:v>FAIL</x:v>
      </x:c>
      <x:c r="D10" s="2" t="str">
        <x:v>Replace with: Vacuum sealing removes much of the air before the pouch is sealed, but residual oxygen may remain. Depending on the product, suitable oxygen absorbers and verified storage conditions may provide additional protection; vacuum sealing alone does not guarantee food safety.</x:v>
      </x:c>
      <x:c r="E10" s="2" t="str">
        <x:v>Vacuum equipment removes much of the air, not necessarily all oxygen, and vacuum packing alone does not guarantee food safety. A buyer who relies on the article's 'complete safety' promise could choose a preservation method unsuitable for the product, risking spoilage or damage. Oxygen absorbers are a separate, product-dependent method.</x:v>
      </x:c>
      <x:c r="F10" s="2" t="str">
        <x:v>https://print247.us/post/complete-guide-to-mylar-bag-closure-styles-and-sealing-methods</x:v>
      </x:c>
    </x:row>
    <x:row r="11" ht="85.05000305175781" customHeight="1">
      <x:c r="A11" s="2" t="str">
        <x:v>MY-B03-04</x:v>
      </x:c>
      <x:c r="B11" s="2" t="str">
        <x:v>Article 3</x:v>
      </x:c>
      <x:c r="C11" s="2" t="str">
        <x:v>NEEDS IMPROVEMENT</x:v>
      </x:c>
      <x:c r="D11" s="2" t="str">
        <x:v>Add: Where child-resistant packaging is required, request validated closure specifications and confirm applicable product and jurisdiction requirements with the supplier.</x:v>
      </x:c>
      <x:c r="E11" s="2" t="str">
        <x:v>Child-resistant performance is product- and jurisdiction-specific; not every zipper styled as resistant satisfies applicable testing or product-packaging rules. This needs a concise qualification, not a claim that the article violates law.</x:v>
      </x:c>
      <x:c r="F11" s="2" t="str">
        <x:v>https://print247.us/post/complete-guide-to-mylar-bag-closure-styles-and-sealing-methods</x:v>
      </x:c>
    </x:row>
    <x:row r="12" ht="85.05000305175781" customHeight="1">
      <x:c r="A12" s="2" t="str">
        <x:v>EXCLUDED-MY-B01-01</x:v>
      </x:c>
      <x:c r="B12" s="2" t="str">
        <x:v>Article 1</x:v>
      </x:c>
      <x:c r="C12" s="2" t="str">
        <x:v>ACCEPTABLE — NOT SCORED</x:v>
      </x:c>
      <x:c r="D12" s="2" t="str">
        <x:v>Stock-versus-custom damage comparison retained as ordinary B2B positioning; optional table wording may be refined separately.</x:v>
      </x:c>
      <x:c r="E12" s="2" t="str">
        <x:v>Management eliminated this as a material technical failure; it does not affect scores or active issue counts.</x:v>
      </x:c>
      <x:c r="F12" s="2" t="str">
        <x:v>https://print247.us/post/custom-retail-boxes-vs-stock-boxes-which-one-is-better</x:v>
      </x:c>
    </x:row>
    <x:row r="13" ht="85.05000305175781" customHeight="1">
      <x:c r="A13" s="2" t="str">
        <x:v>EXCLUDED-MY-B02-01</x:v>
      </x:c>
      <x:c r="B13" s="2" t="str">
        <x:v>Article 2</x:v>
      </x:c>
      <x:c r="C13" s="2" t="str">
        <x:v>ACCEPTABLE — NOT SCORED</x:v>
      </x:c>
      <x:c r="D13" s="2" t="str">
        <x:v>Normal protective/presentation benefits of magnetic boxes need no correction for this audit.</x:v>
      </x:c>
      <x:c r="E13" s="2" t="str">
        <x:v>Management eliminated the noncritical shipping-protection criticism.</x:v>
      </x:c>
      <x:c r="F13" s="2" t="str">
        <x:v>https://print247.us/post/choose-magnetic-closure-boxes</x:v>
      </x:c>
    </x:row>
    <x:row r="14" ht="85.05000305175781" customHeight="1">
      <x:c r="A14" s="2" t="str">
        <x:v>EXCLUDED-MY-B03-01</x:v>
      </x:c>
      <x:c r="B14" s="2" t="str">
        <x:v>Article 3</x:v>
      </x:c>
      <x:c r="C14" s="2" t="str">
        <x:v>EXCLUDED — NOT SCORED</x:v>
      </x:c>
      <x:c r="D14" s="2" t="str">
        <x:v>Film-composition observation removed from the scored assessment.</x:v>
      </x:c>
      <x:c r="E14" s="2" t="str">
        <x:v>Management eliminated this finding; it has no remaining diagnostic or score penalty.</x:v>
      </x:c>
      <x:c r="F14" s="2" t="str">
        <x:v>https://print247.us/post/complete-guide-to-mylar-bag-closure-styles-and-sealing-methods</x:v>
      </x:c>
    </x:row>
    <x:row r="15" ht="85.05000305175781" customHeight="1">
      <x:c r="A15" s="2" t="str">
        <x:v>MARYAM-TRAINING</x:v>
      </x:c>
      <x:c r="B15" s="2" t="str">
        <x:v>3 articles</x:v>
      </x:c>
      <x:c r="C15" s="2" t="str">
        <x:v>TRAINING</x:v>
      </x:c>
      <x:c r="D15" s="2" t="str">
        <x:v>Mini Guide: prioritize the two material oxygen-related errors and make a short correction exercise.</x:v>
      </x:c>
      <x:c r="E15" s="2" t="str">
        <x:v>Potential cannot be established without observing comparable revised drafts.</x:v>
      </x:c>
      <x:c r="F15" s="2" t="str">
        <x:v>Mini Guide</x:v>
      </x:c>
    </x:row>
    <x:row r="16" ht="85.05000305175781" customHeight="1">
      <x:c r="A16" s="2"/>
      <x:c r="B16" s="2"/>
      <x:c r="C16" s="2"/>
      <x:c r="D16" s="2"/>
      <x:c r="E16" s="2"/>
      <x:c r="F16" s="2"/>
    </x:row>
  </x:sheetData>
  <x:pageMargins left="0.7" right="0.7" top="0.75" bottom="0.75" header="0.3" footer="0.3"/>
</x:worksheet>
</file>