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d3b148c08e43fb" /></Relationships>
</file>

<file path=xl/workbook.xml><?xml version="1.0" encoding="utf-8"?>
<x:workbook xmlns:x="http://schemas.openxmlformats.org/spreadsheetml/2006/main">
  <x:sheets>
    <x:sheet xmlns:r="http://schemas.openxmlformats.org/officeDocument/2006/relationships" name="Executive" sheetId="1" r:id="Rbc5c88796def4554"/>
    <x:sheet xmlns:r="http://schemas.openxmlformats.org/officeDocument/2006/relationships" name="Article Scores" sheetId="2" r:id="Ra7a75497d5b34187"/>
    <x:sheet xmlns:r="http://schemas.openxmlformats.org/officeDocument/2006/relationships" name="8 Dimensions" sheetId="3" r:id="Rb55fab5aab1f419a"/>
    <x:sheet xmlns:r="http://schemas.openxmlformats.org/officeDocument/2006/relationships" name="Issues" sheetId="4" r:id="R237ebd260b714fd2"/>
    <x:sheet xmlns:r="http://schemas.openxmlformats.org/officeDocument/2006/relationships" name="Criteria 260" sheetId="5" r:id="R3753529904684301"/>
    <x:sheet xmlns:r="http://schemas.openxmlformats.org/officeDocument/2006/relationships" name="Strengths" sheetId="6" r:id="R9dc909079ac44744"/>
    <x:sheet xmlns:r="http://schemas.openxmlformats.org/officeDocument/2006/relationships" name="Mini Guide" sheetId="7" r:id="Rbfdc41ce21fb4721"/>
    <x:sheet xmlns:r="http://schemas.openxmlformats.org/officeDocument/2006/relationships" name="Methodology" sheetId="8" r:id="R8c2a45efadfe44ce"/>
    <x:sheet xmlns:r="http://schemas.openxmlformats.org/officeDocument/2006/relationships" name="Manager Decisions" sheetId="9" r:id="R26fe905fc1624c1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8">
    <x:font>
      <x:sz val="11"/>
      <x:name val="Carlito"/>
    </x:font>
    <x:font>
      <x:b/>
      <x:sz val="17"/>
      <x:color rgb="FFFFFFFF"/>
      <x:name val="Carlito"/>
    </x:font>
    <x:font>
      <x:i/>
      <x:sz val="10"/>
      <x:color rgb="FF66758A"/>
      <x:name val="Carlito"/>
    </x:font>
    <x:font>
      <x:b/>
      <x:sz val="10"/>
      <x:color rgb="FFFFFFFF"/>
      <x:name val="Carlito"/>
    </x:font>
    <x:font>
      <x:sz val="11"/>
      <x:color rgb="FF66758A"/>
      <x:name val="Carlito"/>
    </x:font>
    <x:font>
      <x:b/>
      <x:sz val="11"/>
      <x:color rgb="FF14253E"/>
      <x:name val="Carlito"/>
    </x:font>
    <x:font>
      <x:b/>
      <x:sz val="14"/>
      <x:color rgb="FF0E7490"/>
      <x:name val="Carlito"/>
    </x:font>
    <x:font>
      <x:i/>
      <x:sz val="11"/>
      <x:color rgb="FF66758A"/>
      <x:name val="Carlito"/>
    </x:font>
  </x:fonts>
  <x:fills count="4">
    <x:fill>
      <x:patternFill patternType="none"/>
    </x:fill>
    <x:fill>
      <x:patternFill patternType="gray125"/>
    </x:fill>
    <x:fill>
      <x:patternFill patternType="solid">
        <x:fgColor rgb="FF14253E"/>
      </x:patternFill>
    </x:fill>
    <x:fill>
      <x:patternFill patternType="solid">
        <x:fgColor rgb="FFEDF4F8"/>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0" fillId="3" borderId="1" xfId="0" applyNumberFormat="1" applyFont="1" applyFill="1" applyBorder="1"/>
    <x:xf numFmtId="0" fontId="5" fillId="3" borderId="1" xfId="0" applyNumberFormat="1" applyFont="1" applyFill="1" applyBorder="1"/>
    <x:xf numFmtId="0" fontId="6" fillId="0" borderId="0" xfId="0" applyNumberFormat="1" applyFont="1" applyFill="1" applyBorder="1"/>
    <x:xf numFmtId="0" fontId="6" fillId="0" borderId="1" xfId="0" applyNumberFormat="1" applyFont="1" applyFill="1" applyBorder="1"/>
    <x:xf numFmtId="200" fontId="6" fillId="0" borderId="0" xfId="0" applyNumberFormat="1" applyFont="1" applyFill="1" applyBorder="1"/>
    <x:xf numFmtId="200" fontId="6" fillId="0" borderId="1"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0d7f73206584ac7" /><Relationship Type="http://schemas.openxmlformats.org/officeDocument/2006/relationships/theme" Target="/xl/theme/theme1.xml" Id="R3acd05688cd24dbe" /><Relationship Type="http://schemas.openxmlformats.org/officeDocument/2006/relationships/sharedStrings" Target="/xl/sharedStrings.xml" Id="Rcb92ea04250a4fe8" /><Relationship Type="http://schemas.openxmlformats.org/officeDocument/2006/relationships/worksheet" Target="/xl/worksheets/sheet1.xml" Id="Rbc5c88796def4554" /><Relationship Type="http://schemas.openxmlformats.org/officeDocument/2006/relationships/worksheet" Target="/xl/worksheets/sheet2.xml" Id="Ra7a75497d5b34187" /><Relationship Type="http://schemas.openxmlformats.org/officeDocument/2006/relationships/worksheet" Target="/xl/worksheets/sheet3.xml" Id="Rb55fab5aab1f419a" /><Relationship Type="http://schemas.openxmlformats.org/officeDocument/2006/relationships/worksheet" Target="/xl/worksheets/sheet4.xml" Id="R237ebd260b714fd2" /><Relationship Type="http://schemas.openxmlformats.org/officeDocument/2006/relationships/worksheet" Target="/xl/worksheets/sheet5.xml" Id="R3753529904684301" /><Relationship Type="http://schemas.openxmlformats.org/officeDocument/2006/relationships/worksheet" Target="/xl/worksheets/sheet6.xml" Id="R9dc909079ac44744" /><Relationship Type="http://schemas.openxmlformats.org/officeDocument/2006/relationships/worksheet" Target="/xl/worksheets/sheet7.xml" Id="Rbfdc41ce21fb4721" /><Relationship Type="http://schemas.openxmlformats.org/officeDocument/2006/relationships/worksheet" Target="/xl/worksheets/sheet8.xml" Id="R8c2a45efadfe44ce" /><Relationship Type="http://schemas.openxmlformats.org/officeDocument/2006/relationships/worksheet" Target="/xl/worksheets/sheet9.xml" Id="R26fe905fc1624c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59" hidden="0" customWidth="1"/>
    <x:col min="2" max="2" width="20" hidden="0" customWidth="1"/>
    <x:col min="3" max="3" width="18" hidden="0" customWidth="1"/>
    <x:col min="4" max="4" width="18" hidden="0" customWidth="1"/>
    <x:col min="5" max="5" width="55" hidden="0" customWidth="1"/>
    <x:col min="6" max="6" width="19" hidden="0" customWidth="1"/>
    <x:col min="7" max="7" width="21" hidden="0" customWidth="1"/>
    <x:col min="8" max="8" width="21" hidden="0" customWidth="1"/>
  </x:cols>
  <x:sheetData>
    <x:row r="1" ht="38" customHeight="1">
      <x:c r="A1" s="3" t="str">
        <x:v>PRINT247  |  HASSAN CONTENT EVALUATION</x:v>
      </x:c>
      <x:c r="B1" s="3"/>
      <x:c r="C1" s="3"/>
      <x:c r="D1" s="3"/>
      <x:c r="E1" s="3"/>
      <x:c r="F1" s="3"/>
      <x:c r="G1" s="3"/>
      <x:c r="H1" s="3"/>
    </x:row>
    <x:row r="3" ht="27" customHeight="1">
      <x:c r="A3" s="20" t="str">
        <x:v>Management overview  ·  Current balanced SEO review  ·  Five articles  ·  Approved exclusions applied</x:v>
      </x:c>
      <x:c r="B3" s="20"/>
      <x:c r="C3" s="20"/>
      <x:c r="D3" s="20"/>
      <x:c r="E3" s="20"/>
      <x:c r="F3" s="20"/>
      <x:c r="G3" s="20"/>
      <x:c r="H3" s="20"/>
    </x:row>
    <x:row r="5" ht="26" customHeight="1">
      <x:c r="A5" s="23" t="str">
        <x:v>Current writer score</x:v>
      </x:c>
      <x:c r="B5" s="28" t="n">
        <x:f>AVERAGE('Article Scores'!D6:D10)</x:f>
        <x:v>85.5</x:v>
      </x:c>
    </x:row>
    <x:row r="6" ht="26" customHeight="1">
      <x:c r="A6" s="23" t="str">
        <x:v>Articles evaluated</x:v>
      </x:c>
      <x:c r="B6" s="26" t="n">
        <x:v>5</x:v>
      </x:c>
    </x:row>
    <x:row r="7" ht="26" customHeight="1">
      <x:c r="A7" s="23" t="str">
        <x:v>Proposed minimum*</x:v>
      </x:c>
      <x:c r="B7" s="26" t="n">
        <x:v>70</x:v>
      </x:c>
    </x:row>
    <x:row r="8" ht="26" customHeight="1">
      <x:c r="A8" s="23" t="str">
        <x:v>Active distinct issues</x:v>
      </x:c>
      <x:c r="B8" s="26" t="n">
        <x:f>COUNTA(Issues!A6:A15)</x:f>
        <x:v>10</x:v>
      </x:c>
    </x:row>
    <x:row r="9" ht="26" customHeight="1">
      <x:c r="A9" s="23" t="str">
        <x:v>Material FAIL findings</x:v>
      </x:c>
      <x:c r="B9" s="26" t="n">
        <x:f>COUNTIF(Issues!C6:C15,"FAIL")</x:f>
        <x:v>1</x:v>
      </x:c>
    </x:row>
    <x:row r="10" ht="26" customHeight="1">
      <x:c r="A10" s="23" t="str">
        <x:v>Improvement opportunities</x:v>
      </x:c>
      <x:c r="B10" s="26" t="n">
        <x:f>COUNTIF(Issues!C6:C15,"NEEDS IMPROVEMENT")</x:f>
        <x:v>9</x:v>
      </x:c>
    </x:row>
    <x:row r="12" ht="32" customHeight="1">
      <x:c r="A12" s="12" t="str">
        <x:v>Article</x:v>
      </x:c>
      <x:c r="B12" s="12" t="str">
        <x:v>Score /100</x:v>
      </x:c>
      <x:c r="C12" s="12" t="str">
        <x:v>Material FAIL</x:v>
      </x:c>
      <x:c r="D12" s="12" t="str">
        <x:v>Improvements</x:v>
      </x:c>
      <x:c r="E12" s="12" t="str">
        <x:v>Editorial disposition</x:v>
      </x:c>
    </x:row>
    <x:row r="13" ht="38" customHeight="1">
      <x:c r="A13" s="16" t="str">
        <x:f>'Article Scores'!B6</x:f>
        <x:v>What Is a Dieline in Packaging &amp; Print: A Detailed Guide</x:v>
      </x:c>
      <x:c r="B13" s="18" t="n">
        <x:f>'Article Scores'!D6</x:f>
        <x:v>82.5</x:v>
      </x:c>
      <x:c r="C13" s="16" t="n">
        <x:f>'Article Scores'!E6</x:f>
        <x:v>1</x:v>
      </x:c>
      <x:c r="D13" s="16" t="n">
        <x:f>'Article Scores'!F6</x:f>
        <x:v>3</x:v>
      </x:c>
      <x:c r="E13" s="16" t="str">
        <x:f>'Article Scores'!H6</x:f>
        <x:v>Revise material factual error before final sign-off</x:v>
      </x:c>
    </x:row>
    <x:row r="14" ht="38" customHeight="1">
      <x:c r="A14" s="16" t="str">
        <x:f>'Article Scores'!B7</x:f>
        <x:v>5 Finishing Options That Make Christmas Boxes Look Premium</x:v>
      </x:c>
      <x:c r="B14" s="18" t="n">
        <x:f>'Article Scores'!D7</x:f>
        <x:v>88</x:v>
      </x:c>
      <x:c r="C14" s="16" t="n">
        <x:f>'Article Scores'!E7</x:f>
        <x:v>0</x:v>
      </x:c>
      <x:c r="D14" s="16" t="n">
        <x:f>'Article Scores'!F7</x:f>
        <x:v>0</x:v>
      </x:c>
      <x:c r="E14" s="16" t="str">
        <x:f>'Article Scores'!H7</x:f>
        <x:v>Pass — no material corrections identified</x:v>
      </x:c>
    </x:row>
    <x:row r="15" ht="38" customHeight="1">
      <x:c r="A15" s="16" t="str">
        <x:f>'Article Scores'!B8</x:f>
        <x:v>Soap Box Packaging: Types &amp; Custom Design Ideas</x:v>
      </x:c>
      <x:c r="B15" s="18" t="n">
        <x:f>'Article Scores'!D8</x:f>
        <x:v>86.5</x:v>
      </x:c>
      <x:c r="C15" s="16" t="n">
        <x:f>'Article Scores'!E8</x:f>
        <x:v>0</x:v>
      </x:c>
      <x:c r="D15" s="16" t="n">
        <x:f>'Article Scores'!F8</x:f>
        <x:v>1</x:v>
      </x:c>
      <x:c r="E15" s="16" t="str">
        <x:f>'Article Scores'!H8</x:f>
        <x:v>Pass with targeted improvements</x:v>
      </x:c>
    </x:row>
    <x:row r="16" ht="38" customHeight="1">
      <x:c r="A16" s="16" t="str">
        <x:f>'Article Scores'!B9</x:f>
        <x:v>Christmas Gift Packaging For Small Business: What Works</x:v>
      </x:c>
      <x:c r="B16" s="18" t="n">
        <x:f>'Article Scores'!D9</x:f>
        <x:v>87.5</x:v>
      </x:c>
      <x:c r="C16" s="16" t="n">
        <x:f>'Article Scores'!E9</x:f>
        <x:v>0</x:v>
      </x:c>
      <x:c r="D16" s="16" t="n">
        <x:f>'Article Scores'!F9</x:f>
        <x:v>3</x:v>
      </x:c>
      <x:c r="E16" s="16" t="str">
        <x:f>'Article Scores'!H9</x:f>
        <x:v>Pass with targeted improvements</x:v>
      </x:c>
    </x:row>
    <x:row r="17" ht="38" customHeight="1">
      <x:c r="A17" s="16" t="str">
        <x:f>'Article Scores'!B10</x:f>
        <x:v>Christmas Candy Box Ideas: Festive Designs That Drive Holiday Sales</x:v>
      </x:c>
      <x:c r="B17" s="18" t="n">
        <x:f>'Article Scores'!D10</x:f>
        <x:v>83</x:v>
      </x:c>
      <x:c r="C17" s="16" t="n">
        <x:f>'Article Scores'!E10</x:f>
        <x:v>0</x:v>
      </x:c>
      <x:c r="D17" s="16" t="n">
        <x:f>'Article Scores'!F10</x:f>
        <x:v>2</x:v>
      </x:c>
      <x:c r="E17" s="16" t="str">
        <x:f>'Article Scores'!H10</x:f>
        <x:v>Pass with targeted improvements</x:v>
      </x:c>
    </x:row>
    <x:row r="20" ht="28" customHeight="1">
      <x:c r="A20" s="23" t="str">
        <x:v>SCORING PRINCIPLE  ·  Corrections and business claim checks are tracked separately from editorial scores.</x:v>
      </x:c>
      <x:c r="B20" s="23"/>
      <x:c r="C20" s="23"/>
      <x:c r="D20" s="23"/>
      <x:c r="E20" s="23"/>
      <x:c r="F20" s="23"/>
      <x:c r="G20" s="23"/>
      <x:c r="H20" s="23"/>
    </x:row>
    <x:row r="21" ht="34" customHeight="1">
      <x:c r="A21" s="31" t="str">
        <x:v>*70/100 is a proposed management benchmark, not a Google requirement. Writer ranking is comparable only after the same balanced review is applied to every writer.</x:v>
      </x:c>
      <x:c r="B21" s="31"/>
      <x:c r="C21" s="31"/>
      <x:c r="D21" s="31"/>
      <x:c r="E21" s="31"/>
      <x:c r="F21" s="31"/>
      <x:c r="G21" s="31"/>
      <x:c r="H21" s="31"/>
    </x:row>
  </x:sheetData>
  <x:mergeCells>
    <x:mergeCell ref="A1:H1"/>
    <x:mergeCell ref="A3:H3"/>
    <x:mergeCell ref="A20:H20"/>
    <x:mergeCell ref="A21:H21"/>
  </x:mergeCells>
  <x:conditionalFormatting sqref="B13:B17">
    <x:cfRule type="dataBar" priority="1">
      <x:dataBar>
        <x:cfvo type="min"/>
        <x:cfvo type="max"/>
        <x:color rgb="FF0E7490"/>
      </x:dataBar>
      <x:extLst>
        <x:ext xmlns:x14="http://schemas.microsoft.com/office/spreadsheetml/2009/9/main" uri="{B025F937-C7B1-47D3-B67F-A62EFF666E3E}">
          <x14:id>{2D2ACA86-9EB4-6F9D-F087-791D39861742}</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2D2ACA86-9EB4-6F9D-F087-791D39861742}">
            <x14:dataBar gradient="0">
              <x14:cfvo type="min"/>
              <x14:cfvo type="max"/>
              <x14:fillColor rgb="FF0E7490"/>
            </x14:dataBar>
          </x14:cfRule>
          <xm:sqref>B13:B17</xm:sqref>
        </x14:conditionalFormatting>
      </x14:conditionalFormattings>
    </x:ext>
  </x:extLst>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9" hidden="0" customWidth="1"/>
    <x:col min="2" max="2" width="49" hidden="0" customWidth="1"/>
    <x:col min="3" max="3" width="63" hidden="0" customWidth="1"/>
    <x:col min="4" max="4" width="18" hidden="0" customWidth="1"/>
    <x:col min="5" max="5" width="18" hidden="0" customWidth="1"/>
    <x:col min="6" max="6" width="18" hidden="0" customWidth="1"/>
    <x:col min="7" max="7" width="26" hidden="0" customWidth="1"/>
    <x:col min="8" max="8" width="51" hidden="0" customWidth="1"/>
  </x:cols>
  <x:sheetData>
    <x:row r="1" ht="36" customHeight="1">
      <x:c r="A1" s="3" t="str">
        <x:v>Hassan · Article Performance</x:v>
      </x:c>
      <x:c r="B1" s="3"/>
      <x:c r="C1" s="3"/>
      <x:c r="D1" s="3"/>
      <x:c r="E1" s="3"/>
      <x:c r="F1" s="3"/>
      <x:c r="G1" s="3"/>
      <x:c r="H1" s="3"/>
    </x:row>
    <x:row r="3" ht="27" customHeight="1">
      <x:c r="A3" s="7" t="str">
        <x:v>Current approved evaluation · five articles · balanced SEO standard</x:v>
      </x:c>
      <x:c r="B3" s="7"/>
      <x:c r="C3" s="7"/>
      <x:c r="D3" s="7"/>
      <x:c r="E3" s="7"/>
      <x:c r="F3" s="7"/>
      <x:c r="G3" s="7"/>
      <x:c r="H3" s="7"/>
    </x:row>
    <x:row r="5" ht="32" customHeight="1">
      <x:c r="A5" s="12" t="str">
        <x:v>#</x:v>
      </x:c>
      <x:c r="B5" s="12" t="str">
        <x:v>Article</x:v>
      </x:c>
      <x:c r="C5" s="12" t="str">
        <x:v>Published URL</x:v>
      </x:c>
      <x:c r="D5" s="12" t="str">
        <x:v>Score /100</x:v>
      </x:c>
      <x:c r="E5" s="12" t="str">
        <x:v>Material FAIL</x:v>
      </x:c>
      <x:c r="F5" s="12" t="str">
        <x:v>Improvements</x:v>
      </x:c>
      <x:c r="G5" s="12" t="str">
        <x:v>Against proposed 70</x:v>
      </x:c>
      <x:c r="H5" s="12" t="str">
        <x:v>Management action</x:v>
      </x:c>
    </x:row>
    <x:row r="6" ht="44" customHeight="1">
      <x:c r="A6" s="16" t="n">
        <x:v>1</x:v>
      </x:c>
      <x:c r="B6" s="16" t="str">
        <x:v>What Is a Dieline in Packaging &amp; Print: A Detailed Guide</x:v>
      </x:c>
      <x:c r="C6" s="16" t="str">
        <x:v>https://print247.us/post/what-is-a-dieline-in-packaging-and-print-a-detailed-guide</x:v>
      </x:c>
      <x:c r="D6" s="18" t="n">
        <x:f>SUMIF('8 Dimensions'!$A$6:$A$45,A6,'8 Dimensions'!$F$6:$F$45)</x:f>
        <x:v>82.5</x:v>
      </x:c>
      <x:c r="E6" s="16" t="n">
        <x:v>1</x:v>
      </x:c>
      <x:c r="F6" s="16" t="n">
        <x:v>3</x:v>
      </x:c>
      <x:c r="G6" s="16" t="str">
        <x:f>IF(D6&gt;=Executive!$B$7,"Meets proposed benchmark","Below proposed benchmark")</x:f>
        <x:v>Meets proposed benchmark</x:v>
      </x:c>
      <x:c r="H6" s="16" t="str">
        <x:v>Revise material factual error before final sign-off</x:v>
      </x:c>
    </x:row>
    <x:row r="7" ht="44" customHeight="1">
      <x:c r="A7" s="16" t="n">
        <x:v>2</x:v>
      </x:c>
      <x:c r="B7" s="16" t="str">
        <x:v>5 Finishing Options That Make Christmas Boxes Look Premium</x:v>
      </x:c>
      <x:c r="C7" s="16" t="str">
        <x:v>https://print247.us/post/finishing-options-that-make-christmas-boxes-look-premium</x:v>
      </x:c>
      <x:c r="D7" s="18" t="n">
        <x:f>SUMIF('8 Dimensions'!$A$6:$A$45,A7,'8 Dimensions'!$F$6:$F$45)</x:f>
        <x:v>88</x:v>
      </x:c>
      <x:c r="E7" s="16" t="n">
        <x:v>0</x:v>
      </x:c>
      <x:c r="F7" s="16" t="n">
        <x:v>0</x:v>
      </x:c>
      <x:c r="G7" s="16" t="str">
        <x:f>IF(D7&gt;=Executive!$B$7,"Meets proposed benchmark","Below proposed benchmark")</x:f>
        <x:v>Meets proposed benchmark</x:v>
      </x:c>
      <x:c r="H7" s="16" t="str">
        <x:v>Pass — no material corrections identified</x:v>
      </x:c>
    </x:row>
    <x:row r="8" ht="44" customHeight="1">
      <x:c r="A8" s="16" t="n">
        <x:v>3</x:v>
      </x:c>
      <x:c r="B8" s="16" t="str">
        <x:v>Soap Box Packaging: Types &amp; Custom Design Ideas</x:v>
      </x:c>
      <x:c r="C8" s="16" t="str">
        <x:v>https://print247.us/post/soap-box-packaging-types-and-custom-design-ideas</x:v>
      </x:c>
      <x:c r="D8" s="18" t="n">
        <x:f>SUMIF('8 Dimensions'!$A$6:$A$45,A8,'8 Dimensions'!$F$6:$F$45)</x:f>
        <x:v>86.5</x:v>
      </x:c>
      <x:c r="E8" s="16" t="n">
        <x:v>0</x:v>
      </x:c>
      <x:c r="F8" s="16" t="n">
        <x:v>1</x:v>
      </x:c>
      <x:c r="G8" s="16" t="str">
        <x:f>IF(D8&gt;=Executive!$B$7,"Meets proposed benchmark","Below proposed benchmark")</x:f>
        <x:v>Meets proposed benchmark</x:v>
      </x:c>
      <x:c r="H8" s="16" t="str">
        <x:v>Pass with targeted improvements</x:v>
      </x:c>
    </x:row>
    <x:row r="9" ht="44" customHeight="1">
      <x:c r="A9" s="16" t="n">
        <x:v>4</x:v>
      </x:c>
      <x:c r="B9" s="16" t="str">
        <x:v>Christmas Gift Packaging For Small Business: What Works</x:v>
      </x:c>
      <x:c r="C9" s="16" t="str">
        <x:v>https://print247.us/post/christmas-gift-packaging-for-small-business-what-works</x:v>
      </x:c>
      <x:c r="D9" s="18" t="n">
        <x:f>SUMIF('8 Dimensions'!$A$6:$A$45,A9,'8 Dimensions'!$F$6:$F$45)</x:f>
        <x:v>87.5</x:v>
      </x:c>
      <x:c r="E9" s="16" t="n">
        <x:v>0</x:v>
      </x:c>
      <x:c r="F9" s="16" t="n">
        <x:v>3</x:v>
      </x:c>
      <x:c r="G9" s="16" t="str">
        <x:f>IF(D9&gt;=Executive!$B$7,"Meets proposed benchmark","Below proposed benchmark")</x:f>
        <x:v>Meets proposed benchmark</x:v>
      </x:c>
      <x:c r="H9" s="16" t="str">
        <x:v>Pass with targeted improvements</x:v>
      </x:c>
    </x:row>
    <x:row r="10" ht="44" customHeight="1">
      <x:c r="A10" s="16" t="n">
        <x:v>5</x:v>
      </x:c>
      <x:c r="B10" s="16" t="str">
        <x:v>Christmas Candy Box Ideas: Festive Designs That Drive Holiday Sales</x:v>
      </x:c>
      <x:c r="C10" s="16" t="str">
        <x:v>https://print247.us/post/christmas-candy-box-ideas</x:v>
      </x:c>
      <x:c r="D10" s="18" t="n">
        <x:f>SUMIF('8 Dimensions'!$A$6:$A$45,A10,'8 Dimensions'!$F$6:$F$45)</x:f>
        <x:v>83</x:v>
      </x:c>
      <x:c r="E10" s="16" t="n">
        <x:v>0</x:v>
      </x:c>
      <x:c r="F10" s="16" t="n">
        <x:v>2</x:v>
      </x:c>
      <x:c r="G10" s="16" t="str">
        <x:f>IF(D10&gt;=Executive!$B$7,"Meets proposed benchmark","Below proposed benchmark")</x:f>
        <x:v>Meets proposed benchmark</x:v>
      </x:c>
      <x:c r="H10" s="16" t="str">
        <x:v>Pass with targeted improvements</x:v>
      </x:c>
    </x:row>
  </x:sheetData>
  <x:mergeCells>
    <x:mergeCell ref="A1:H1"/>
    <x:mergeCell ref="A3:H3"/>
  </x:mergeCells>
  <x:conditionalFormatting sqref="D6:D10">
    <x:cfRule type="dataBar" priority="1">
      <x:dataBar>
        <x:cfvo type="min"/>
        <x:cfvo type="max"/>
        <x:color rgb="FF0E7490"/>
      </x:dataBar>
      <x:extLst>
        <x:ext xmlns:x14="http://schemas.microsoft.com/office/spreadsheetml/2009/9/main" uri="{B025F937-C7B1-47D3-B67F-A62EFF666E3E}">
          <x14:id>{D21D654A-EC92-0670-6565-E25FCA28AA82}</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D21D654A-EC92-0670-6565-E25FCA28AA82}">
            <x14:dataBar gradient="0">
              <x14:cfvo type="min"/>
              <x14:cfvo type="max"/>
              <x14:fillColor rgb="FF0E7490"/>
            </x14:dataBar>
          </x14:cfRule>
          <xm:sqref>D6:D10</xm:sqref>
        </x14:conditionalFormatting>
      </x14:conditionalFormattings>
    </x:ext>
  </x:extLst>
</x:worksheet>
</file>

<file path=xl/worksheets/sheet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1" hidden="0" customWidth="1"/>
    <x:col min="2" max="2" width="24" hidden="0" customWidth="1"/>
    <x:col min="3" max="3" width="39" hidden="0" customWidth="1"/>
    <x:col min="4" max="4" width="14" hidden="0" customWidth="1"/>
    <x:col min="5" max="5" width="15" hidden="0" customWidth="1"/>
    <x:col min="6" max="6" width="20" hidden="0" customWidth="1"/>
    <x:col min="7" max="7" width="31" hidden="0" customWidth="1"/>
    <x:col min="8" max="8" width="107" hidden="0" customWidth="1"/>
  </x:cols>
  <x:sheetData>
    <x:row r="1" ht="36" customHeight="1">
      <x:c r="A1" s="3" t="str">
        <x:v>Eight Scoring Dimensions</x:v>
      </x:c>
      <x:c r="B1" s="3"/>
      <x:c r="C1" s="3"/>
      <x:c r="D1" s="3"/>
      <x:c r="E1" s="3"/>
      <x:c r="F1" s="3"/>
      <x:c r="G1" s="3"/>
      <x:c r="H1" s="3"/>
    </x:row>
    <x:row r="3" ht="27" customHeight="1">
      <x:c r="A3" s="7" t="str">
        <x:v>Calibrated ratings for each article. No repeated issue deductions; every aspect rated once.</x:v>
      </x:c>
      <x:c r="B3" s="7"/>
      <x:c r="C3" s="7"/>
      <x:c r="D3" s="7"/>
      <x:c r="E3" s="7"/>
      <x:c r="F3" s="7"/>
      <x:c r="G3" s="7"/>
      <x:c r="H3" s="7"/>
    </x:row>
    <x:row r="5" ht="32" customHeight="1">
      <x:c r="A5" s="12" t="str">
        <x:v>Article #</x:v>
      </x:c>
      <x:c r="B5" s="12" t="str">
        <x:v>Article</x:v>
      </x:c>
      <x:c r="C5" s="12" t="str">
        <x:v>Dimension</x:v>
      </x:c>
      <x:c r="D5" s="12" t="str">
        <x:v>Weight %</x:v>
      </x:c>
      <x:c r="E5" s="12" t="str">
        <x:v>Rating /5</x:v>
      </x:c>
      <x:c r="F5" s="12" t="str">
        <x:v>Weighted /100</x:v>
      </x:c>
      <x:c r="G5" s="12" t="str">
        <x:v>Issue IDs (primary only)</x:v>
      </x:c>
      <x:c r="H5" s="12" t="str">
        <x:v>Reasoned rating basis</x:v>
      </x:c>
    </x:row>
    <x:row r="6" ht="49" customHeight="1">
      <x:c r="A6" s="16" t="n">
        <x:v>1</x:v>
      </x:c>
      <x:c r="B6" s="16" t="str">
        <x:v>Dieline guide</x:v>
      </x:c>
      <x:c r="C6" s="16" t="str">
        <x:v>Topic &amp; search intent</x:v>
      </x:c>
      <x:c r="D6" s="16" t="n">
        <x:v>15</x:v>
      </x:c>
      <x:c r="E6" s="18" t="n">
        <x:v>4.5</x:v>
      </x:c>
      <x:c r="F6" s="18" t="n">
        <x:f>E6/5*D6</x:f>
        <x:v>13.5</x:v>
      </x:c>
      <x:c r="G6" s="16"/>
      <x:c r="H6" s="16" t="str">
        <x:v>The title and H2 definition accurately serve readers looking for a dieline explanation; contextual introduction is relevant, not a search-intent failure.</x:v>
      </x:c>
    </x:row>
    <x:row r="7" ht="49" customHeight="1">
      <x:c r="A7" s="16" t="n">
        <x:v>1</x:v>
      </x:c>
      <x:c r="B7" s="16" t="str">
        <x:v>Dieline guide</x:v>
      </x:c>
      <x:c r="C7" s="16" t="str">
        <x:v>Factual &amp; technical accuracy</x:v>
      </x:c>
      <x:c r="D7" s="16" t="n">
        <x:v>15</x:v>
      </x:c>
      <x:c r="E7" s="18" t="n">
        <x:v>3.5</x:v>
      </x:c>
      <x:c r="F7" s="18" t="n">
        <x:f>E7/5*D7</x:f>
        <x:v>10.5</x:v>
      </x:c>
      <x:c r="G7" s="16" t="str">
        <x:v>HB01-01, HB01-02, HB01-04</x:v>
      </x:c>
      <x:c r="H7" s="16" t="str">
        <x:v>Dieline cut/fold/bleed/safe-zone basics are broadly useful. The conclusion makes a universal printing claim that needs correction.</x:v>
      </x:c>
    </x:row>
    <x:row r="8" ht="49" customHeight="1">
      <x:c r="A8" s="16" t="n">
        <x:v>1</x:v>
      </x:c>
      <x:c r="B8" s="16" t="str">
        <x:v>Dieline guide</x:v>
      </x:c>
      <x:c r="C8" s="16" t="str">
        <x:v>Semantic completeness &amp; information value</x:v>
      </x:c>
      <x:c r="D8" s="16" t="n">
        <x:v>20</x:v>
      </x:c>
      <x:c r="E8" s="18" t="n">
        <x:v>4.5</x:v>
      </x:c>
      <x:c r="F8" s="18" t="n">
        <x:f>E8/5*D8</x:f>
        <x:v>18</x:v>
      </x:c>
      <x:c r="G8" s="16"/>
      <x:c r="H8" s="16" t="str">
        <x:v>Cut, crease, bleed, safe zones, glue tabs, perforation, design workflow and approval checklist are covered.</x:v>
      </x:c>
    </x:row>
    <x:row r="9" ht="49" customHeight="1">
      <x:c r="A9" s="16" t="n">
        <x:v>1</x:v>
      </x:c>
      <x:c r="B9" s="16" t="str">
        <x:v>Dieline guide</x:v>
      </x:c>
      <x:c r="C9" s="16" t="str">
        <x:v>Practical usefulness &amp; decision support</x:v>
      </x:c>
      <x:c r="D9" s="16" t="n">
        <x:v>15</x:v>
      </x:c>
      <x:c r="E9" s="18" t="n">
        <x:v>4</x:v>
      </x:c>
      <x:c r="F9" s="18" t="n">
        <x:f>E9/5*D9</x:f>
        <x:v>12</x:v>
      </x:c>
      <x:c r="G9" s="16"/>
      <x:c r="H9" s="16" t="str">
        <x:v>Explains designer workflow and buyer preapproval checks with actionable steps.</x:v>
      </x:c>
    </x:row>
    <x:row r="10" ht="49" customHeight="1">
      <x:c r="A10" s="16" t="n">
        <x:v>1</x:v>
      </x:c>
      <x:c r="B10" s="16" t="str">
        <x:v>Dieline guide</x:v>
      </x:c>
      <x:c r="C10" s="16" t="str">
        <x:v>Content structure &amp; readability</x:v>
      </x:c>
      <x:c r="D10" s="16" t="n">
        <x:v>10</x:v>
      </x:c>
      <x:c r="E10" s="18" t="n">
        <x:v>4</x:v>
      </x:c>
      <x:c r="F10" s="18" t="n">
        <x:f>E10/5*D10</x:f>
        <x:v>8</x:v>
      </x:c>
      <x:c r="G10" s="16"/>
      <x:c r="H10" s="16" t="str">
        <x:v>The two introductory context paragraphs are acceptable; the first H2 defines dielines. Several editing problems are confined to the late supplier/conclusion passages.</x:v>
      </x:c>
    </x:row>
    <x:row r="11" ht="49" customHeight="1">
      <x:c r="A11" s="16" t="n">
        <x:v>1</x:v>
      </x:c>
      <x:c r="B11" s="16" t="str">
        <x:v>Dieline guide</x:v>
      </x:c>
      <x:c r="C11" s="16" t="str">
        <x:v>Natural SEO integration</x:v>
      </x:c>
      <x:c r="D11" s="16" t="n">
        <x:v>10</x:v>
      </x:c>
      <x:c r="E11" s="18" t="n">
        <x:v>4.5</x:v>
      </x:c>
      <x:c r="F11" s="18" t="n">
        <x:f>E11/5*D11</x:f>
        <x:v>9</x:v>
      </x:c>
      <x:c r="G11" s="16"/>
      <x:c r="H11" s="16" t="str">
        <x:v>Natural terms include dieline, bleed, safe zone, cut line, fold/crease, glue tabs, packaging layout.</x:v>
      </x:c>
    </x:row>
    <x:row r="12" ht="49" customHeight="1">
      <x:c r="A12" s="16" t="n">
        <x:v>1</x:v>
      </x:c>
      <x:c r="B12" s="16" t="str">
        <x:v>Dieline guide</x:v>
      </x:c>
      <x:c r="C12" s="16" t="str">
        <x:v>B2B audience &amp; commercial relevance</x:v>
      </x:c>
      <x:c r="D12" s="16" t="n">
        <x:v>10</x:v>
      </x:c>
      <x:c r="E12" s="18" t="n">
        <x:v>4</x:v>
      </x:c>
      <x:c r="F12" s="18" t="n">
        <x:f>E12/5*D12</x:f>
        <x:v>8</x:v>
      </x:c>
      <x:c r="G12" s="16"/>
      <x:c r="H12" s="16" t="str">
        <x:v>Brands ordering custom packaging can use the pre-approval checklist and Print247 CTA; specifications are supplier-dependent.</x:v>
      </x:c>
    </x:row>
    <x:row r="13" ht="49" customHeight="1">
      <x:c r="A13" s="16" t="n">
        <x:v>1</x:v>
      </x:c>
      <x:c r="B13" s="16" t="str">
        <x:v>Dieline guide</x:v>
      </x:c>
      <x:c r="C13" s="16" t="str">
        <x:v>Editorial quality &amp; consistency</x:v>
      </x:c>
      <x:c r="D13" s="16" t="n">
        <x:v>5</x:v>
      </x:c>
      <x:c r="E13" s="18" t="n">
        <x:v>3.5</x:v>
      </x:c>
      <x:c r="F13" s="18" t="n">
        <x:f>E13/5*D13</x:f>
        <x:v>3.5</x:v>
      </x:c>
      <x:c r="G13" s="16" t="str">
        <x:v>HB01-03</x:v>
      </x:c>
      <x:c r="H13" s="16" t="str">
        <x:v>Relevant contextual links include folding cartons, mailer boxes, sleeves and packaging services; destination status not independently tested.</x:v>
      </x:c>
    </x:row>
    <x:row r="14" ht="49" customHeight="1">
      <x:c r="A14" s="16" t="n">
        <x:v>2</x:v>
      </x:c>
      <x:c r="B14" s="16" t="str">
        <x:v>Christmas finishing</x:v>
      </x:c>
      <x:c r="C14" s="16" t="str">
        <x:v>Topic &amp; search intent</x:v>
      </x:c>
      <x:c r="D14" s="16" t="n">
        <x:v>15</x:v>
      </x:c>
      <x:c r="E14" s="18" t="n">
        <x:v>4.5</x:v>
      </x:c>
      <x:c r="F14" s="18" t="n">
        <x:f>E14/5*D14</x:f>
        <x:v>13.5</x:v>
      </x:c>
      <x:c r="G14" s="16"/>
      <x:c r="H14" s="16" t="str">
        <x:v>The five-item finish guide serves holiday box buyers, though the fifth item is a structural upgrade rather than a surface treatment.</x:v>
      </x:c>
    </x:row>
    <x:row r="15" ht="49" customHeight="1">
      <x:c r="A15" s="16" t="n">
        <x:v>2</x:v>
      </x:c>
      <x:c r="B15" s="16" t="str">
        <x:v>Christmas finishing</x:v>
      </x:c>
      <x:c r="C15" s="16" t="str">
        <x:v>Factual &amp; technical accuracy</x:v>
      </x:c>
      <x:c r="D15" s="16" t="n">
        <x:v>15</x:v>
      </x:c>
      <x:c r="E15" s="18" t="n">
        <x:v>4.5</x:v>
      </x:c>
      <x:c r="F15" s="18" t="n">
        <x:f>E15/5*D15</x:f>
        <x:v>13.5</x:v>
      </x:c>
      <x:c r="G15" s="16"/>
      <x:c r="H15" s="16" t="str">
        <x:v>Packaging finishing concepts are broadly sound. Standard B2B promotional positioning is acceptable and has no material accuracy defect.</x:v>
      </x:c>
    </x:row>
    <x:row r="16" ht="49" customHeight="1">
      <x:c r="A16" s="16" t="n">
        <x:v>2</x:v>
      </x:c>
      <x:c r="B16" s="16" t="str">
        <x:v>Christmas finishing</x:v>
      </x:c>
      <x:c r="C16" s="16" t="str">
        <x:v>Semantic completeness &amp; information value</x:v>
      </x:c>
      <x:c r="D16" s="16" t="n">
        <x:v>20</x:v>
      </x:c>
      <x:c r="E16" s="18" t="n">
        <x:v>4.5</x:v>
      </x:c>
      <x:c r="F16" s="18" t="n">
        <x:f>E16/5*D16</x:f>
        <x:v>18</x:v>
      </x:c>
      <x:c r="G16" s="16"/>
      <x:c r="H16" s="16" t="str">
        <x:v>Five useful sections cover finishing and presentation choices. The fifth item is relevant even though it includes packaging construction elements.</x:v>
      </x:c>
    </x:row>
    <x:row r="17" ht="49" customHeight="1">
      <x:c r="A17" s="16" t="n">
        <x:v>2</x:v>
      </x:c>
      <x:c r="B17" s="16" t="str">
        <x:v>Christmas finishing</x:v>
      </x:c>
      <x:c r="C17" s="16" t="str">
        <x:v>Practical usefulness &amp; decision support</x:v>
      </x:c>
      <x:c r="D17" s="16" t="n">
        <x:v>15</x:v>
      </x:c>
      <x:c r="E17" s="18" t="n">
        <x:v>4</x:v>
      </x:c>
      <x:c r="F17" s="18" t="n">
        <x:f>E17/5*D17</x:f>
        <x:v>12</x:v>
      </x:c>
      <x:c r="G17" s="16"/>
      <x:c r="H17" s="16" t="str">
        <x:v>Finish illustrations are useful for buyers. Optional comparisons are not mandatory for this article to satisfy intent.</x:v>
      </x:c>
    </x:row>
    <x:row r="18" ht="49" customHeight="1">
      <x:c r="A18" s="16" t="n">
        <x:v>2</x:v>
      </x:c>
      <x:c r="B18" s="16" t="str">
        <x:v>Christmas finishing</x:v>
      </x:c>
      <x:c r="C18" s="16" t="str">
        <x:v>Content structure &amp; readability</x:v>
      </x:c>
      <x:c r="D18" s="16" t="n">
        <x:v>10</x:v>
      </x:c>
      <x:c r="E18" s="18" t="n">
        <x:v>4.5</x:v>
      </x:c>
      <x:c r="F18" s="18" t="n">
        <x:f>E18/5*D18</x:f>
        <x:v>9</x:v>
      </x:c>
      <x:c r="G18" s="16"/>
      <x:c r="H18" s="16" t="str">
        <x:v>Clear numbered headings and sensible progression. “Soft touch and matte” is an understandable heading and needs no retitling.</x:v>
      </x:c>
    </x:row>
    <x:row r="19" ht="49" customHeight="1">
      <x:c r="A19" s="16" t="n">
        <x:v>2</x:v>
      </x:c>
      <x:c r="B19" s="16" t="str">
        <x:v>Christmas finishing</x:v>
      </x:c>
      <x:c r="C19" s="16" t="str">
        <x:v>Natural SEO integration</x:v>
      </x:c>
      <x:c r="D19" s="16" t="n">
        <x:v>10</x:v>
      </x:c>
      <x:c r="E19" s="18" t="n">
        <x:v>4.5</x:v>
      </x:c>
      <x:c r="F19" s="18" t="n">
        <x:f>E19/5*D19</x:f>
        <x:v>9</x:v>
      </x:c>
      <x:c r="G19" s="16"/>
      <x:c r="H19" s="16" t="str">
        <x:v>Uses matte, soft-touch, foil stamping, embossing, debossing and spot UV naturally in headings and prose.</x:v>
      </x:c>
    </x:row>
    <x:row r="20" ht="49" customHeight="1">
      <x:c r="A20" s="16" t="n">
        <x:v>2</x:v>
      </x:c>
      <x:c r="B20" s="16" t="str">
        <x:v>Christmas finishing</x:v>
      </x:c>
      <x:c r="C20" s="16" t="str">
        <x:v>B2B audience &amp; commercial relevance</x:v>
      </x:c>
      <x:c r="D20" s="16" t="n">
        <x:v>10</x:v>
      </x:c>
      <x:c r="E20" s="18" t="n">
        <x:v>4.5</x:v>
      </x:c>
      <x:c r="F20" s="18" t="n">
        <x:f>E20/5*D20</x:f>
        <x:v>9</x:v>
      </x:c>
      <x:c r="G20" s="16"/>
      <x:c r="H20" s="16" t="str">
        <x:v>Examples address custom box buyers and brand presentation. No material commercial guidance failure remains after calibration.</x:v>
      </x:c>
    </x:row>
    <x:row r="21" ht="49" customHeight="1">
      <x:c r="A21" s="16" t="n">
        <x:v>2</x:v>
      </x:c>
      <x:c r="B21" s="16" t="str">
        <x:v>Christmas finishing</x:v>
      </x:c>
      <x:c r="C21" s="16" t="str">
        <x:v>Editorial quality &amp; consistency</x:v>
      </x:c>
      <x:c r="D21" s="16" t="n">
        <x:v>5</x:v>
      </x:c>
      <x:c r="E21" s="18" t="n">
        <x:v>4</x:v>
      </x:c>
      <x:c r="F21" s="18" t="n">
        <x:f>E21/5*D21</x:f>
        <x:v>4</x:v>
      </x:c>
      <x:c r="G21" s="16"/>
      <x:c r="H21" s="16" t="str">
        <x:v>Tone is suitable for B2B marketing; ordinary “best known” positioning does not constitute a writer error.</x:v>
      </x:c>
    </x:row>
    <x:row r="22" ht="49" customHeight="1">
      <x:c r="A22" s="16" t="n">
        <x:v>3</x:v>
      </x:c>
      <x:c r="B22" s="16" t="str">
        <x:v>Soap box packaging</x:v>
      </x:c>
      <x:c r="C22" s="16" t="str">
        <x:v>Topic &amp; search intent</x:v>
      </x:c>
      <x:c r="D22" s="16" t="n">
        <x:v>15</x:v>
      </x:c>
      <x:c r="E22" s="18" t="n">
        <x:v>4.5</x:v>
      </x:c>
      <x:c r="F22" s="18" t="n">
        <x:f>E22/5*D22</x:f>
        <x:v>13.5</x:v>
      </x:c>
      <x:c r="G22" s="16"/>
      <x:c r="H22" s="16" t="str">
        <x:v>The article supplies box types, materials and design ideas matching its title; the overview is usable before the detailed taxonomy.</x:v>
      </x:c>
    </x:row>
    <x:row r="23" ht="49" customHeight="1">
      <x:c r="A23" s="16" t="n">
        <x:v>3</x:v>
      </x:c>
      <x:c r="B23" s="16" t="str">
        <x:v>Soap box packaging</x:v>
      </x:c>
      <x:c r="C23" s="16" t="str">
        <x:v>Factual &amp; technical accuracy</x:v>
      </x:c>
      <x:c r="D23" s="16" t="n">
        <x:v>15</x:v>
      </x:c>
      <x:c r="E23" s="18" t="n">
        <x:v>4.5</x:v>
      </x:c>
      <x:c r="F23" s="18" t="n">
        <x:f>E23/5*D23</x:f>
        <x:v>13.5</x:v>
      </x:c>
      <x:c r="G23" s="16"/>
      <x:c r="H23" s="16" t="str">
        <x:v>Published market statistics have a matching linked source; materials are described with appropriate qualification.</x:v>
      </x:c>
    </x:row>
    <x:row r="24" ht="49" customHeight="1">
      <x:c r="A24" s="16" t="n">
        <x:v>3</x:v>
      </x:c>
      <x:c r="B24" s="16" t="str">
        <x:v>Soap box packaging</x:v>
      </x:c>
      <x:c r="C24" s="16" t="str">
        <x:v>Semantic completeness &amp; information value</x:v>
      </x:c>
      <x:c r="D24" s="16" t="n">
        <x:v>20</x:v>
      </x:c>
      <x:c r="E24" s="18" t="n">
        <x:v>4.5</x:v>
      </x:c>
      <x:c r="F24" s="18" t="n">
        <x:f>E24/5*D24</x:f>
        <x:v>18</x:v>
      </x:c>
      <x:c r="G24" s="16"/>
      <x:c r="H24" s="16" t="str">
        <x:v>Eight box formats, multiple board materials, customization and selection tips give meaningful breadth.</x:v>
      </x:c>
    </x:row>
    <x:row r="25" ht="49" customHeight="1">
      <x:c r="A25" s="16" t="n">
        <x:v>3</x:v>
      </x:c>
      <x:c r="B25" s="16" t="str">
        <x:v>Soap box packaging</x:v>
      </x:c>
      <x:c r="C25" s="16" t="str">
        <x:v>Practical usefulness &amp; decision support</x:v>
      </x:c>
      <x:c r="D25" s="16" t="n">
        <x:v>15</x:v>
      </x:c>
      <x:c r="E25" s="18" t="n">
        <x:v>4</x:v>
      </x:c>
      <x:c r="F25" s="18" t="n">
        <x:f>E25/5*D25</x:f>
        <x:v>12</x:v>
      </x:c>
      <x:c r="G25" s="16" t="str">
        <x:v>HB03-03</x:v>
      </x:c>
      <x:c r="H25" s="16" t="str">
        <x:v>“Best for” lists and a stepwise selection section support decisions; add a printable specification handoff.</x:v>
      </x:c>
    </x:row>
    <x:row r="26" ht="49" customHeight="1">
      <x:c r="A26" s="16" t="n">
        <x:v>3</x:v>
      </x:c>
      <x:c r="B26" s="16" t="str">
        <x:v>Soap box packaging</x:v>
      </x:c>
      <x:c r="C26" s="16" t="str">
        <x:v>Content structure &amp; readability</x:v>
      </x:c>
      <x:c r="D26" s="16" t="n">
        <x:v>10</x:v>
      </x:c>
      <x:c r="E26" s="18" t="n">
        <x:v>4</x:v>
      </x:c>
      <x:c r="F26" s="18" t="n">
        <x:f>E26/5*D26</x:f>
        <x:v>8</x:v>
      </x:c>
      <x:c r="G26" s="16"/>
      <x:c r="H26" s="16" t="str">
        <x:v>Headings, type-by-type examples and buying steps are navigable; some redundant sales language is tolerable.</x:v>
      </x:c>
    </x:row>
    <x:row r="27" ht="49" customHeight="1">
      <x:c r="A27" s="16" t="n">
        <x:v>3</x:v>
      </x:c>
      <x:c r="B27" s="16" t="str">
        <x:v>Soap box packaging</x:v>
      </x:c>
      <x:c r="C27" s="16" t="str">
        <x:v>Natural SEO integration</x:v>
      </x:c>
      <x:c r="D27" s="16" t="n">
        <x:v>10</x:v>
      </x:c>
      <x:c r="E27" s="18" t="n">
        <x:v>4.5</x:v>
      </x:c>
      <x:c r="F27" s="18" t="n">
        <x:f>E27/5*D27</x:f>
        <x:v>9</x:v>
      </x:c>
      <x:c r="G27" s="16"/>
      <x:c r="H27" s="16" t="str">
        <x:v>Relevant semantic vocabulary covers soap cartons, sleeves, kraft, SBS, corrugated, rigid, labels and finishes.</x:v>
      </x:c>
    </x:row>
    <x:row r="28" ht="49" customHeight="1">
      <x:c r="A28" s="16" t="n">
        <x:v>3</x:v>
      </x:c>
      <x:c r="B28" s="16" t="str">
        <x:v>Soap box packaging</x:v>
      </x:c>
      <x:c r="C28" s="16" t="str">
        <x:v>B2B audience &amp; commercial relevance</x:v>
      </x:c>
      <x:c r="D28" s="16" t="n">
        <x:v>10</x:v>
      </x:c>
      <x:c r="E28" s="18" t="n">
        <x:v>4.5</x:v>
      </x:c>
      <x:c r="F28" s="18" t="n">
        <x:f>E28/5*D28</x:f>
        <x:v>9</x:v>
      </x:c>
      <x:c r="G28" s="16"/>
      <x:c r="H28" s="16" t="str">
        <x:v>Soap-brand examples, material choices and product-fit recommendations speak to B2B decision makers.</x:v>
      </x:c>
    </x:row>
    <x:row r="29" ht="49" customHeight="1">
      <x:c r="A29" s="16" t="n">
        <x:v>3</x:v>
      </x:c>
      <x:c r="B29" s="16" t="str">
        <x:v>Soap box packaging</x:v>
      </x:c>
      <x:c r="C29" s="16" t="str">
        <x:v>Editorial quality &amp; consistency</x:v>
      </x:c>
      <x:c r="D29" s="16" t="n">
        <x:v>5</x:v>
      </x:c>
      <x:c r="E29" s="18" t="n">
        <x:v>3.5</x:v>
      </x:c>
      <x:c r="F29" s="18" t="n">
        <x:f>E29/5*D29</x:f>
        <x:v>3.5</x:v>
      </x:c>
      <x:c r="G29" s="16"/>
      <x:c r="H29" s="16" t="str">
        <x:v>Contextual category links support soap-box structures and substrate terms; HTTP destination behavior not independently tested.</x:v>
      </x:c>
    </x:row>
    <x:row r="30" ht="49" customHeight="1">
      <x:c r="A30" s="16" t="n">
        <x:v>4</x:v>
      </x:c>
      <x:c r="B30" s="16" t="str">
        <x:v>Small-business Christmas</x:v>
      </x:c>
      <x:c r="C30" s="16" t="str">
        <x:v>Topic &amp; search intent</x:v>
      </x:c>
      <x:c r="D30" s="16" t="n">
        <x:v>15</x:v>
      </x:c>
      <x:c r="E30" s="18" t="n">
        <x:v>4.5</x:v>
      </x:c>
      <x:c r="F30" s="18" t="n">
        <x:f>E30/5*D30</x:f>
        <x:v>13.5</x:v>
      </x:c>
      <x:c r="G30" s="16"/>
      <x:c r="H30" s="16" t="str">
        <x:v>The article specifically discusses holiday packaging for small businesses, including cost, order size, lead time and flexible formats.</x:v>
      </x:c>
    </x:row>
    <x:row r="31" ht="49" customHeight="1">
      <x:c r="A31" s="16" t="n">
        <x:v>4</x:v>
      </x:c>
      <x:c r="B31" s="16" t="str">
        <x:v>Small-business Christmas</x:v>
      </x:c>
      <x:c r="C31" s="16" t="str">
        <x:v>Factual &amp; technical accuracy</x:v>
      </x:c>
      <x:c r="D31" s="16" t="n">
        <x:v>15</x:v>
      </x:c>
      <x:c r="E31" s="18" t="n">
        <x:v>4</x:v>
      </x:c>
      <x:c r="F31" s="18" t="n">
        <x:f>E31/5*D31</x:f>
        <x:v>12</x:v>
      </x:c>
      <x:c r="G31" s="16" t="str">
        <x:v>HB04-01</x:v>
      </x:c>
      <x:c r="H31" s="16" t="str">
        <x:v>The numerical example is calculated correctly. Clarify 2–5% as a possible allowance for *additional festive touches*, not a universal spending benchmark.</x:v>
      </x:c>
    </x:row>
    <x:row r="32" ht="49" customHeight="1">
      <x:c r="A32" s="16" t="n">
        <x:v>4</x:v>
      </x:c>
      <x:c r="B32" s="16" t="str">
        <x:v>Small-business Christmas</x:v>
      </x:c>
      <x:c r="C32" s="16" t="str">
        <x:v>Semantic completeness &amp; information value</x:v>
      </x:c>
      <x:c r="D32" s="16" t="n">
        <x:v>20</x:v>
      </x:c>
      <x:c r="E32" s="18" t="n">
        <x:v>4.5</x:v>
      </x:c>
      <x:c r="F32" s="18" t="n">
        <x:f>E32/5*D32</x:f>
        <x:v>18</x:v>
      </x:c>
      <x:c r="G32" s="16"/>
      <x:c r="H32" s="16" t="str">
        <x:v>Packaging formats, costs, MOQ and timing, and customization ideas are covered without major topical gaps.</x:v>
      </x:c>
    </x:row>
    <x:row r="33" ht="49" customHeight="1">
      <x:c r="A33" s="16" t="n">
        <x:v>4</x:v>
      </x:c>
      <x:c r="B33" s="16" t="str">
        <x:v>Small-business Christmas</x:v>
      </x:c>
      <x:c r="C33" s="16" t="str">
        <x:v>Practical usefulness &amp; decision support</x:v>
      </x:c>
      <x:c r="D33" s="16" t="n">
        <x:v>15</x:v>
      </x:c>
      <x:c r="E33" s="18" t="n">
        <x:v>4.5</x:v>
      </x:c>
      <x:c r="F33" s="18" t="n">
        <x:f>E33/5*D33</x:f>
        <x:v>13.5</x:v>
      </x:c>
      <x:c r="G33" s="16" t="str">
        <x:v>HB04-02</x:v>
      </x:c>
      <x:c r="H33" s="16" t="str">
        <x:v>Concrete $30 example, adaptable seasonal packaging and planning suggestions are useful; remove unsourced range as a rule.</x:v>
      </x:c>
    </x:row>
    <x:row r="34" ht="49" customHeight="1">
      <x:c r="A34" s="16" t="n">
        <x:v>4</x:v>
      </x:c>
      <x:c r="B34" s="16" t="str">
        <x:v>Small-business Christmas</x:v>
      </x:c>
      <x:c r="C34" s="16" t="str">
        <x:v>Content structure &amp; readability</x:v>
      </x:c>
      <x:c r="D34" s="16" t="n">
        <x:v>10</x:v>
      </x:c>
      <x:c r="E34" s="18" t="n">
        <x:v>4.5</x:v>
      </x:c>
      <x:c r="F34" s="18" t="n">
        <x:f>E34/5*D34</x:f>
        <x:v>9</x:v>
      </x:c>
      <x:c r="G34" s="16"/>
      <x:c r="H34" s="16" t="str">
        <x:v>Follows option → budget → quantity → timing → design steps with useful organization; conspicuous FAQ grammar can be fixed.</x:v>
      </x:c>
    </x:row>
    <x:row r="35" ht="49" customHeight="1">
      <x:c r="A35" s="16" t="n">
        <x:v>4</x:v>
      </x:c>
      <x:c r="B35" s="16" t="str">
        <x:v>Small-business Christmas</x:v>
      </x:c>
      <x:c r="C35" s="16" t="str">
        <x:v>Natural SEO integration</x:v>
      </x:c>
      <x:c r="D35" s="16" t="n">
        <x:v>10</x:v>
      </x:c>
      <x:c r="E35" s="18" t="n">
        <x:v>4.5</x:v>
      </x:c>
      <x:c r="F35" s="18" t="n">
        <x:f>E35/5*D35</x:f>
        <x:v>9</x:v>
      </x:c>
      <x:c r="G35" s="16"/>
      <x:c r="H35" s="16" t="str">
        <x:v>Focus terms Christmas gift packaging, small businesses, custom boxes, mailers, MOQ and lead time occur naturally.</x:v>
      </x:c>
    </x:row>
    <x:row r="36" ht="49" customHeight="1">
      <x:c r="A36" s="16" t="n">
        <x:v>4</x:v>
      </x:c>
      <x:c r="B36" s="16" t="str">
        <x:v>Small-business Christmas</x:v>
      </x:c>
      <x:c r="C36" s="16" t="str">
        <x:v>B2B audience &amp; commercial relevance</x:v>
      </x:c>
      <x:c r="D36" s="16" t="n">
        <x:v>10</x:v>
      </x:c>
      <x:c r="E36" s="18" t="n">
        <x:v>4.5</x:v>
      </x:c>
      <x:c r="F36" s="18" t="n">
        <x:f>E36/5*D36</x:f>
        <x:v>9</x:v>
      </x:c>
      <x:c r="G36" s="16"/>
      <x:c r="H36" s="16" t="str">
        <x:v>Budget, seasonality, MOQ and ordering timelines directly address SMB procurement decisions.</x:v>
      </x:c>
    </x:row>
    <x:row r="37" ht="49" customHeight="1">
      <x:c r="A37" s="16" t="n">
        <x:v>4</x:v>
      </x:c>
      <x:c r="B37" s="16" t="str">
        <x:v>Small-business Christmas</x:v>
      </x:c>
      <x:c r="C37" s="16" t="str">
        <x:v>Editorial quality &amp; consistency</x:v>
      </x:c>
      <x:c r="D37" s="16" t="n">
        <x:v>5</x:v>
      </x:c>
      <x:c r="E37" s="18" t="n">
        <x:v>3.5</x:v>
      </x:c>
      <x:c r="F37" s="18" t="n">
        <x:f>E37/5*D37</x:f>
        <x:v>3.5</x:v>
      </x:c>
      <x:c r="G37" s="16" t="str">
        <x:v>HB04-04</x:v>
      </x:c>
      <x:c r="H37" s="16" t="str">
        <x:v>Links connect mailer boxes, folding cartons, festive accessories and labels; HTTP destination behavior not independently tested.</x:v>
      </x:c>
    </x:row>
    <x:row r="38" ht="49" customHeight="1">
      <x:c r="A38" s="16" t="n">
        <x:v>5</x:v>
      </x:c>
      <x:c r="B38" s="16" t="str">
        <x:v>Christmas candy boxes</x:v>
      </x:c>
      <x:c r="C38" s="16" t="str">
        <x:v>Topic &amp; search intent</x:v>
      </x:c>
      <x:c r="D38" s="16" t="n">
        <x:v>15</x:v>
      </x:c>
      <x:c r="E38" s="18" t="n">
        <x:v>4.5</x:v>
      </x:c>
      <x:c r="F38" s="18" t="n">
        <x:f>E38/5*D38</x:f>
        <x:v>13.5</x:v>
      </x:c>
      <x:c r="G38" s="16"/>
      <x:c r="H38" s="16" t="str">
        <x:v>Seven design ideas and a separate box-style comparison satisfy the ideation intent; performance claims need qualification.</x:v>
      </x:c>
    </x:row>
    <x:row r="39" ht="49" customHeight="1">
      <x:c r="A39" s="16" t="n">
        <x:v>5</x:v>
      </x:c>
      <x:c r="B39" s="16" t="str">
        <x:v>Christmas candy boxes</x:v>
      </x:c>
      <x:c r="C39" s="16" t="str">
        <x:v>Factual &amp; technical accuracy</x:v>
      </x:c>
      <x:c r="D39" s="16" t="n">
        <x:v>15</x:v>
      </x:c>
      <x:c r="E39" s="18" t="n">
        <x:v>4.5</x:v>
      </x:c>
      <x:c r="F39" s="18" t="n">
        <x:f>E39/5*D39</x:f>
        <x:v>13.5</x:v>
      </x:c>
      <x:c r="G39" s="16"/>
      <x:c r="H39" s="16" t="str">
        <x:v>Box construction and decoration recommendations are credible. “Inch-perfect” and delivery language are not scored as writer errors; precise company guarantees may be checked by management separately.</x:v>
      </x:c>
    </x:row>
    <x:row r="40" ht="49" customHeight="1">
      <x:c r="A40" s="16" t="n">
        <x:v>5</x:v>
      </x:c>
      <x:c r="B40" s="16" t="str">
        <x:v>Christmas candy boxes</x:v>
      </x:c>
      <x:c r="C40" s="16" t="str">
        <x:v>Semantic completeness &amp; information value</x:v>
      </x:c>
      <x:c r="D40" s="16" t="n">
        <x:v>20</x:v>
      </x:c>
      <x:c r="E40" s="18" t="n">
        <x:v>4</x:v>
      </x:c>
      <x:c r="F40" s="18" t="n">
        <x:f>E40/5*D40</x:f>
        <x:v>16</x:v>
      </x:c>
      <x:c r="G40" s="16"/>
      <x:c r="H40" s="16" t="str">
        <x:v>Seven seasonal ideas, box styles, design tips, pitfalls and FAQs are relevant; food-contact guidance could be clearer.</x:v>
      </x:c>
    </x:row>
    <x:row r="41" ht="49" customHeight="1">
      <x:c r="A41" s="16" t="n">
        <x:v>5</x:v>
      </x:c>
      <x:c r="B41" s="16" t="str">
        <x:v>Christmas candy boxes</x:v>
      </x:c>
      <x:c r="C41" s="16" t="str">
        <x:v>Practical usefulness &amp; decision support</x:v>
      </x:c>
      <x:c r="D41" s="16" t="n">
        <x:v>15</x:v>
      </x:c>
      <x:c r="E41" s="18" t="n">
        <x:v>3.5</x:v>
      </x:c>
      <x:c r="F41" s="18" t="n">
        <x:f>E41/5*D41</x:f>
        <x:v>10.5</x:v>
      </x:c>
      <x:c r="G41" s="16" t="str">
        <x:v>HB05-04</x:v>
      </x:c>
      <x:c r="H41" s="16" t="str">
        <x:v>Packaging ideas and box styles are actionable, though direct food-contact guardrails warrant a short mention.</x:v>
      </x:c>
    </x:row>
    <x:row r="42" ht="49" customHeight="1">
      <x:c r="A42" s="16" t="n">
        <x:v>5</x:v>
      </x:c>
      <x:c r="B42" s="16" t="str">
        <x:v>Christmas candy boxes</x:v>
      </x:c>
      <x:c r="C42" s="16" t="str">
        <x:v>Content structure &amp; readability</x:v>
      </x:c>
      <x:c r="D42" s="16" t="n">
        <x:v>10</x:v>
      </x:c>
      <x:c r="E42" s="18" t="n">
        <x:v>4.5</x:v>
      </x:c>
      <x:c r="F42" s="18" t="n">
        <x:f>E42/5*D42</x:f>
        <x:v>9</x:v>
      </x:c>
      <x:c r="G42" s="16"/>
      <x:c r="H42" s="16" t="str">
        <x:v>The article progresses logically through ideas, box styles, pitfalls, and CTA. Ordinary sales language at the end is acceptable.</x:v>
      </x:c>
    </x:row>
    <x:row r="43" ht="49" customHeight="1">
      <x:c r="A43" s="16" t="n">
        <x:v>5</x:v>
      </x:c>
      <x:c r="B43" s="16" t="str">
        <x:v>Christmas candy boxes</x:v>
      </x:c>
      <x:c r="C43" s="16" t="str">
        <x:v>Natural SEO integration</x:v>
      </x:c>
      <x:c r="D43" s="16" t="n">
        <x:v>10</x:v>
      </x:c>
      <x:c r="E43" s="18" t="n">
        <x:v>4.5</x:v>
      </x:c>
      <x:c r="F43" s="18" t="n">
        <x:f>E43/5*D43</x:f>
        <x:v>9</x:v>
      </x:c>
      <x:c r="G43" s="16"/>
      <x:c r="H43" s="16" t="str">
        <x:v>The terms Christmas candy boxes, gable, rigid, foil, window, gift box and product labels support the topic.</x:v>
      </x:c>
    </x:row>
    <x:row r="44" ht="49" customHeight="1">
      <x:c r="A44" s="16" t="n">
        <x:v>5</x:v>
      </x:c>
      <x:c r="B44" s="16" t="str">
        <x:v>Christmas candy boxes</x:v>
      </x:c>
      <x:c r="C44" s="16" t="str">
        <x:v>B2B audience &amp; commercial relevance</x:v>
      </x:c>
      <x:c r="D44" s="16" t="n">
        <x:v>10</x:v>
      </x:c>
      <x:c r="E44" s="18" t="n">
        <x:v>4</x:v>
      </x:c>
      <x:c r="F44" s="18" t="n">
        <x:f>E44/5*D44</x:f>
        <x:v>8</x:v>
      </x:c>
      <x:c r="G44" s="16"/>
      <x:c r="H44" s="16" t="str">
        <x:v>Gift retailers and candy sellers gain practical ideas and packaging format advice; food-contact use merits a caution.</x:v>
      </x:c>
    </x:row>
    <x:row r="45" ht="49" customHeight="1">
      <x:c r="A45" s="16" t="n">
        <x:v>5</x:v>
      </x:c>
      <x:c r="B45" s="16" t="str">
        <x:v>Christmas candy boxes</x:v>
      </x:c>
      <x:c r="C45" s="16" t="str">
        <x:v>Editorial quality &amp; consistency</x:v>
      </x:c>
      <x:c r="D45" s="16" t="n">
        <x:v>5</x:v>
      </x:c>
      <x:c r="E45" s="18" t="n">
        <x:v>3.5</x:v>
      </x:c>
      <x:c r="F45" s="18" t="n">
        <x:f>E45/5*D45</x:f>
        <x:v>3.5</x:v>
      </x:c>
      <x:c r="G45" s="16" t="str">
        <x:v>HB05-05</x:v>
      </x:c>
      <x:c r="H45" s="16" t="str">
        <x:v>The writer’s language is understandable; one retained low-priority wording improvement does not materially impede readers.</x:v>
      </x:c>
    </x:row>
  </x:sheetData>
  <x:mergeCells>
    <x:mergeCell ref="A1:H1"/>
    <x:mergeCell ref="A3:H3"/>
  </x:mergeCells>
  <x:pageMargins left="0.7" right="0.7" top="0.75" bottom="0.75" header="0.3" footer="0.3"/>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4" hidden="0" customWidth="1"/>
    <x:col min="2" max="2" width="12" hidden="0" customWidth="1"/>
    <x:col min="3" max="3" width="23" hidden="0" customWidth="1"/>
    <x:col min="4" max="4" width="13" hidden="0" customWidth="1"/>
    <x:col min="5" max="5" width="52" hidden="0" customWidth="1"/>
    <x:col min="6" max="6" width="69" hidden="0" customWidth="1"/>
    <x:col min="7" max="7" width="88" hidden="0" customWidth="1"/>
    <x:col min="8" max="8" width="100" hidden="0" customWidth="1"/>
    <x:col min="9" max="9" width="19" hidden="0" customWidth="1"/>
    <x:col min="10" max="10" width="64" hidden="0" customWidth="1"/>
  </x:cols>
  <x:sheetData>
    <x:row r="1">
      <x:c r="A1" t="str">
        <x:v>Current Issues &amp; Recommendations</x:v>
      </x:c>
      <x:c r="B1"/>
      <x:c r="C1"/>
      <x:c r="D1"/>
      <x:c r="E1"/>
      <x:c r="F1"/>
      <x:c r="G1"/>
      <x:c r="H1"/>
      <x:c r="I1"/>
      <x:c r="J1"/>
    </x:row>
    <x:row r="2">
      <x:c r="A2"/>
      <x:c r="B2"/>
      <x:c r="C2"/>
      <x:c r="D2"/>
      <x:c r="E2"/>
      <x:c r="F2"/>
      <x:c r="G2"/>
      <x:c r="H2"/>
      <x:c r="I2"/>
      <x:c r="J2"/>
    </x:row>
    <x:row r="3">
      <x:c r="A3" t="str">
        <x:v>Active evidence-linked findings only. Claims referred for company verification are not automatic writing failures.</x:v>
      </x:c>
      <x:c r="B3"/>
      <x:c r="C3"/>
      <x:c r="D3"/>
      <x:c r="E3"/>
      <x:c r="F3"/>
      <x:c r="G3"/>
      <x:c r="H3"/>
      <x:c r="I3"/>
      <x:c r="J3"/>
    </x:row>
    <x:row r="4">
      <x:c r="A4"/>
      <x:c r="B4"/>
      <x:c r="C4"/>
      <x:c r="D4"/>
      <x:c r="E4"/>
      <x:c r="F4"/>
      <x:c r="G4"/>
      <x:c r="H4"/>
      <x:c r="I4"/>
      <x:c r="J4"/>
    </x:row>
    <x:row r="5" ht="32" customHeight="1">
      <x:c r="A5" s="12" t="str">
        <x:v>Issue ID</x:v>
      </x:c>
      <x:c r="B5" s="12" t="str">
        <x:v>Article #</x:v>
      </x:c>
      <x:c r="C5" s="12" t="str">
        <x:v>Status</x:v>
      </x:c>
      <x:c r="D5" s="12" t="str">
        <x:v>Priority</x:v>
      </x:c>
      <x:c r="E5" s="12" t="str">
        <x:v>Finding</x:v>
      </x:c>
      <x:c r="F5" s="12" t="str">
        <x:v>Published excerpt (short)</x:v>
      </x:c>
      <x:c r="G5" s="12" t="str">
        <x:v>Reason for assessment</x:v>
      </x:c>
      <x:c r="H5" s="12" t="str">
        <x:v>Recommended correction</x:v>
      </x:c>
      <x:c r="I5" s="12" t="str">
        <x:v>Source lines</x:v>
      </x:c>
      <x:c r="J5" s="12" t="str">
        <x:v>Original URL</x:v>
      </x:c>
    </x:row>
    <x:row r="6" ht="60" customHeight="1">
      <x:c r="A6" s="16" t="str">
        <x:v>HB01-01</x:v>
      </x:c>
      <x:c r="B6" s="16" t="n">
        <x:v>1</x:v>
      </x:c>
      <x:c r="C6" s="16" t="str">
        <x:v>FAIL</x:v>
      </x:c>
      <x:c r="D6" s="16" t="str">
        <x:v>High</x:v>
      </x:c>
      <x:c r="E6" s="16" t="str">
        <x:v>Incorrect universal claim about dielines</x:v>
      </x:c>
      <x:c r="F6" s="16" t="str">
        <x:v>Dieline is part of every printing project.</x:v>
      </x:c>
      <x:c r="G6" s="16" t="str">
        <x:v>Dielines are needed for die-cut or structurally converted items, not automatically every poster, banner or printing job. The statement contradicts the narrower earlier examples.</x:v>
      </x:c>
      <x:c r="H6" s="16" t="str">
        <x:v>Replace with: “Dielines are essential for die-cut and structural packaging formats; other print jobs may use trim, bleed and layout specifications without a packaging dieline.”</x:v>
      </x:c>
      <x:c r="I6" s="16" t="str">
        <x:v>345-348</x:v>
      </x:c>
      <x:c r="J6" s="16" t="str">
        <x:v>https://print247.us/post/what-is-a-dieline-in-packaging-and-print-a-detailed-guide</x:v>
      </x:c>
    </x:row>
    <x:row r="7" ht="60" customHeight="1">
      <x:c r="A7" s="16" t="str">
        <x:v>HB01-02</x:v>
      </x:c>
      <x:c r="B7" s="16" t="n">
        <x:v>1</x:v>
      </x:c>
      <x:c r="C7" s="16" t="str">
        <x:v>NEEDS IMPROVEMENT</x:v>
      </x:c>
      <x:c r="D7" s="16" t="str">
        <x:v>Medium</x:v>
      </x:c>
      <x:c r="E7" s="16" t="str">
        <x:v>Overbroad vector-only artwork instruction</x:v>
      </x:c>
      <x:c r="F7" s="16" t="str">
        <x:v>Packaging artwork should be vector-based</x:v>
      </x:c>
      <x:c r="G7" s="16" t="str">
        <x:v>Vector cut/crease paths and many logos should be vector, but high-resolution photographic raster images can be appropriate.</x:v>
      </x:c>
      <x:c r="H7" s="16" t="str">
        <x:v>Clarify: “Keep cut and fold paths vector-based; use vector artwork for logos and type where possible, and supply photos at the printer’s required resolution.”</x:v>
      </x:c>
      <x:c r="I7" s="16" t="str">
        <x:v>313-317</x:v>
      </x:c>
      <x:c r="J7" s="16" t="str">
        <x:v>https://print247.us/post/what-is-a-dieline-in-packaging-and-print-a-detailed-guide</x:v>
      </x:c>
    </x:row>
    <x:row r="8" ht="60" customHeight="1">
      <x:c r="A8" s="16" t="str">
        <x:v>HB01-03</x:v>
      </x:c>
      <x:c r="B8" s="16" t="n">
        <x:v>1</x:v>
      </x:c>
      <x:c r="C8" s="16" t="str">
        <x:v>NEEDS IMPROVEMENT</x:v>
      </x:c>
      <x:c r="D8" s="16" t="str">
        <x:v>Medium</x:v>
      </x:c>
      <x:c r="E8" s="16" t="str">
        <x:v>Incomplete sentence breaks the supplier explanation</x:v>
      </x:c>
      <x:c r="F8" s="16" t="str">
        <x:v>so the final piece.</x:v>
      </x:c>
      <x:c r="G8" s="16" t="str">
        <x:v>Replace 'so' with 'to' to make sense of the sentence. </x:v>
      </x:c>
      <x:c r="H8" s="16" t="str">
        <x:v>Complete the thought, e.g., “...so the finished piece fits the product and matches the approved design.”</x:v>
      </x:c>
      <x:c r="I8" s="16" t="str">
        <x:v>340-345</x:v>
      </x:c>
      <x:c r="J8" s="16" t="str">
        <x:v>https://print247.us/post/what-is-a-dieline-in-packaging-and-print-a-detailed-guide</x:v>
      </x:c>
    </x:row>
    <x:row r="9" ht="60" customHeight="1">
      <x:c r="A9" s="16" t="str">
        <x:v>HB01-04</x:v>
      </x:c>
      <x:c r="B9" s="16" t="n">
        <x:v>1</x:v>
      </x:c>
      <x:c r="C9" s="16" t="str">
        <x:v>NEEDS IMPROVEMENT</x:v>
      </x:c>
      <x:c r="D9" s="16" t="str">
        <x:v>Low</x:v>
      </x:c>
      <x:c r="E9" s="16" t="str">
        <x:v>Production outcomes described as guaranteed precision</x:v>
      </x:c>
      <x:c r="F9" s="16" t="str">
        <x:v>folds perfectly</x:v>
      </x:c>
      <x:c r="G9" s="16" t="str">
        <x:v>A precise dieline reduces risk but cannot by itself guarantee flawless output across materials, tolerances, cutting and assembly.</x:v>
      </x:c>
      <x:c r="H9" s="16" t="str">
        <x:v>Change “folds perfectly” to “helps the packaging fold accurately when production specifications are followed.”</x:v>
      </x:c>
      <x:c r="I9" s="16" t="str">
        <x:v>229-232</x:v>
      </x:c>
      <x:c r="J9" s="16" t="str">
        <x:v>https://print247.us/post/what-is-a-dieline-in-packaging-and-print-a-detailed-guide</x:v>
      </x:c>
    </x:row>
    <x:row r="10" ht="60" customHeight="1">
      <x:c r="A10" s="16" t="str">
        <x:v>HB03-03</x:v>
      </x:c>
      <x:c r="B10" s="16" t="n">
        <x:v>3</x:v>
      </x:c>
      <x:c r="C10" s="16" t="str">
        <x:v>NEEDS IMPROVEMENT</x:v>
      </x:c>
      <x:c r="D10" s="16" t="str">
        <x:v>Medium</x:v>
      </x:c>
      <x:c r="E10" s="16" t="str">
        <x:v>Custom-order guidance omits final specification checklist</x:v>
      </x:c>
      <x:c r="F10" s="16" t="str">
        <x:v>Bar size, shape, and texture</x:v>
      </x:c>
      <x:c r="G10" s="16" t="str">
        <x:v>Good buyer guidance is already present, but the final step does not say which dimensions/material/quantity details a manufacturer needs to quote reliably.</x:v>
      </x:c>
      <x:c r="H10" s="16" t="str">
        <x:v>Add a short buyer handoff checklist: finished-bar L×W×H, fit/clearance, pack count, board grade, artwork/finish, quantity and sample proof.</x:v>
      </x:c>
      <x:c r="I10" s="16" t="str">
        <x:v>532-567</x:v>
      </x:c>
      <x:c r="J10" s="16" t="str">
        <x:v>https://print247.us/post/soap-box-packaging-types-and-custom-design-ideas</x:v>
      </x:c>
    </x:row>
    <x:row r="11" ht="60" customHeight="1">
      <x:c r="A11" s="16" t="str">
        <x:v>HB04-01</x:v>
      </x:c>
      <x:c r="B11" s="16" t="n">
        <x:v>4</x:v>
      </x:c>
      <x:c r="C11" s="16" t="str">
        <x:v>NEEDS IMPROVEMENT</x:v>
      </x:c>
      <x:c r="D11" s="16" t="str">
        <x:v>Low</x:v>
      </x:c>
      <x:c r="E11" s="16" t="str">
        <x:v>Clarify 2–5% as an optional festive-packaging planning allowance, not an industry rule</x:v>
      </x:c>
      <x:c r="F11" s="16" t="str">
        <x:v>the basic practice is to allocate around 2-5% of overall product retail price to packaging</x:v>
      </x:c>
      <x:c r="G11" s="16" t="str">
        <x:v>The 2–5% figure is a possible illustrative allowance for extra festive touches, not a substantiated universal small-business or industry benchmark. The cited alternative ranges refer to different budget categories and denominators.</x:v>
      </x:c>
      <x:c r="H11" s="16" t="str">
        <x:v>Suggested: “As a practical starting point, small businesses can consider allocating around 2–5% of a product’s retail price to additional Christmas packaging elements, such as festive labels, ribbons, sleeves or decorative finishes, where margins allow. Actual costs depend on customization and product economics.”</x:v>
      </x:c>
      <x:c r="I11" s="16" t="str">
        <x:v>281-288</x:v>
      </x:c>
      <x:c r="J11" s="16" t="str">
        <x:v>https://print247.us/post/christmas-gift-packaging-for-small-business-what-works</x:v>
      </x:c>
    </x:row>
    <x:row r="12" ht="60" customHeight="1">
      <x:c r="A12" s="16" t="str">
        <x:v>HB04-02</x:v>
      </x:c>
      <x:c r="B12" s="16" t="n">
        <x:v>4</x:v>
      </x:c>
      <x:c r="C12" s="16" t="str">
        <x:v>NEEDS IMPROVEMENT</x:v>
      </x:c>
      <x:c r="D12" s="16" t="str">
        <x:v>Medium</x:v>
      </x:c>
      <x:c r="E12" s="16" t="str">
        <x:v>MOQ illustration may look universally applicable</x:v>
      </x:c>
      <x:c r="F12" s="16" t="str">
        <x:v>lowest practical MOQ (500–1000 units with digital printing)</x:v>
      </x:c>
      <x:c r="G12" s="16" t="str">
        <x:v>Digital and supplier minimum quantities vary greatly; 500–1,000 can be one scenario, not a universal minimum for small companies.</x:v>
      </x:c>
      <x:c r="H12" s="16" t="str">
        <x:v>Introduce range as an example only; advise comparing printer-specific minimums, prototypes, and total landed price.</x:v>
      </x:c>
      <x:c r="I12" s="16" t="str">
        <x:v>296-309</x:v>
      </x:c>
      <x:c r="J12" s="16" t="str">
        <x:v>https://print247.us/post/christmas-gift-packaging-for-small-business-what-works</x:v>
      </x:c>
    </x:row>
    <x:row r="13" ht="60" customHeight="1">
      <x:c r="A13" s="16" t="str">
        <x:v>HB04-04</x:v>
      </x:c>
      <x:c r="B13" s="16" t="n">
        <x:v>4</x:v>
      </x:c>
      <x:c r="C13" s="16" t="str">
        <x:v>NEEDS IMPROVEMENT</x:v>
      </x:c>
      <x:c r="D13" s="16" t="str">
        <x:v>Low</x:v>
      </x:c>
      <x:c r="E13" s="16" t="str">
        <x:v>A prominent FAQ sentence disrupts clarity</x:v>
      </x:c>
      <x:c r="F13" s="16" t="str">
        <x:v>This way you will don’t get stuck</x:v>
      </x:c>
      <x:c r="G13" s="16" t="str">
        <x:v>This is a conspicuous error in a highly scanned FAQ answer; it is worth fixing, Just a simple typo</x:v>
      </x:c>
      <x:c r="H13" s="16" t="str">
        <x:v>Rewrite as “This way you will not get stuck in high.”</x:v>
      </x:c>
      <x:c r="I13" s="16" t="str">
        <x:v>369-376</x:v>
      </x:c>
      <x:c r="J13" s="16" t="str">
        <x:v>https://print247.us/post/christmas-gift-packaging-for-small-business-what-works</x:v>
      </x:c>
    </x:row>
    <x:row r="14" ht="60" customHeight="1">
      <x:c r="A14" s="16" t="str">
        <x:v>HB05-04</x:v>
      </x:c>
      <x:c r="B14" s="16" t="n">
        <x:v>5</x:v>
      </x:c>
      <x:c r="C14" s="16" t="str">
        <x:v>NEEDS IMPROVEMENT</x:v>
      </x:c>
      <x:c r="D14" s="16" t="str">
        <x:v>Medium</x:v>
      </x:c>
      <x:c r="E14" s="16" t="str">
        <x:v>Food-contact packaging caution is too brief for business buyers</x:v>
      </x:c>
      <x:c r="F14" s="16" t="str">
        <x:v>food-safe materials</x:v>
      </x:c>
      <x:c r="G14" s="16" t="str">
        <x:v>The idea-focused article need not become a regulatory manual, but buyers should distinguish direct-food-contact from secondary retail packaging and verify materials for intended use.</x:v>
      </x:c>
      <x:c r="H14" s="16" t="str">
        <x:v>Add one sentence advising an appropriate food-contact liner or approved material for direct contact, and supplier verification for coatings, inks, and adhesives.</x:v>
      </x:c>
      <x:c r="I14" s="16" t="str">
        <x:v>230-235;402-411</x:v>
      </x:c>
      <x:c r="J14" s="16" t="str">
        <x:v>https://print247.us/post/christmas-candy-box-ideas</x:v>
      </x:c>
    </x:row>
    <x:row r="15" ht="60" customHeight="1">
      <x:c r="A15" s="16" t="str">
        <x:v>HB05-05</x:v>
      </x:c>
      <x:c r="B15" s="16" t="n">
        <x:v>5</x:v>
      </x:c>
      <x:c r="C15" s="16" t="str">
        <x:v>NEEDS IMPROVEMENT</x:v>
      </x:c>
      <x:c r="D15" s="16" t="str">
        <x:v>Low</x:v>
      </x:c>
      <x:c r="E15" s="16" t="str">
        <x:v>Editorial wording around “confirmed” purchase is overstated</x:v>
      </x:c>
      <x:c r="F15" s="16" t="str">
        <x:v>confirmed to be picked</x:v>
      </x:c>
      <x:c r="G15" s="16" t="str">
        <x:v>An outcome guarantee distracts from otherwise useful design advice; isolated punctuation and colorful adjectives alone are not penalized.</x:v>
      </x:c>
      <x:c r="H15" s="16" t="str">
        <x:v>Replace with “visually clear and easier for shoppers to notice and evaluate.”</x:v>
      </x:c>
      <x:c r="I15" s="16" t="str">
        <x:v>359-365</x:v>
      </x:c>
      <x:c r="J15" s="16" t="str">
        <x:v>https://print247.us/post/christmas-candy-box-ideas</x:v>
      </x:c>
    </x:row>
  </x:sheetData>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2" hidden="0" customWidth="1"/>
    <x:col min="2" max="2" width="26" hidden="0" customWidth="1"/>
    <x:col min="3" max="3" width="28" hidden="0" customWidth="1"/>
    <x:col min="4" max="4" width="21" hidden="0" customWidth="1"/>
    <x:col min="5" max="5" width="27" hidden="0" customWidth="1"/>
    <x:col min="6" max="6" width="58" hidden="0" customWidth="1"/>
    <x:col min="7" max="7" width="69" hidden="0" customWidth="1"/>
    <x:col min="8" max="8" width="66" hidden="0" customWidth="1"/>
    <x:col min="9" max="9" width="58" hidden="0" customWidth="1"/>
  </x:cols>
  <x:sheetData>
    <x:row r="1">
      <x:c r="A1" t="str">
        <x:v>52 diagnostic checks × 5 articles</x:v>
      </x:c>
      <x:c r="B1"/>
      <x:c r="C1"/>
      <x:c r="D1"/>
      <x:c r="E1"/>
      <x:c r="F1"/>
      <x:c r="G1"/>
      <x:c r="H1"/>
      <x:c r="I1"/>
    </x:row>
    <x:row r="2">
      <x:c r="A2"/>
      <x:c r="B2"/>
      <x:c r="C2"/>
      <x:c r="D2"/>
      <x:c r="E2"/>
      <x:c r="F2"/>
      <x:c r="G2"/>
      <x:c r="H2"/>
      <x:c r="I2"/>
    </x:row>
    <x:row r="3">
      <x:c r="A3" t="str">
        <x:v>Status categories include PASS · ACCEPTABLE · NEEDS IMPROVEMENT · FAIL · NOT VERIFIED. Checks do not independently deduct points.</x:v>
      </x:c>
      <x:c r="B3"/>
      <x:c r="C3"/>
      <x:c r="D3"/>
      <x:c r="E3"/>
      <x:c r="F3"/>
      <x:c r="G3"/>
      <x:c r="H3"/>
      <x:c r="I3"/>
    </x:row>
    <x:row r="4">
      <x:c r="A4"/>
      <x:c r="B4"/>
      <x:c r="C4"/>
      <x:c r="D4"/>
      <x:c r="E4"/>
      <x:c r="F4"/>
      <x:c r="G4"/>
      <x:c r="H4"/>
      <x:c r="I4"/>
    </x:row>
    <x:row r="5" ht="32" customHeight="1">
      <x:c r="A5" s="12" t="str">
        <x:v>Article #</x:v>
      </x:c>
      <x:c r="B5" s="12" t="str">
        <x:v>Article</x:v>
      </x:c>
      <x:c r="C5" s="12" t="str">
        <x:v>Check ID</x:v>
      </x:c>
      <x:c r="D5" s="12" t="str">
        <x:v>Section</x:v>
      </x:c>
      <x:c r="E5" s="12" t="str">
        <x:v>Question</x:v>
      </x:c>
      <x:c r="F5" s="12" t="str">
        <x:v>Balanced status</x:v>
      </x:c>
      <x:c r="G5" s="12" t="str">
        <x:v>Evidence/rationale</x:v>
      </x:c>
      <x:c r="H5" s="12" t="str">
        <x:v>Related unique issue IDs</x:v>
      </x:c>
      <x:c r="I5" s="12" t="str">
        <x:v>Article lines / URL</x:v>
      </x:c>
    </x:row>
    <x:row r="6" ht="38" customHeight="1">
      <x:c r="A6" s="16" t="n">
        <x:v>1</x:v>
      </x:c>
      <x:c r="B6" s="16" t="str">
        <x:v>Dieline guide</x:v>
      </x:c>
      <x:c r="C6" s="16" t="str">
        <x:v>0-0</x:v>
      </x:c>
      <x:c r="D6" s="16" t="str">
        <x:v>Search Intent &amp; Topic Targeting</x:v>
      </x:c>
      <x:c r="E6" s="16" t="str">
        <x:v>The article has a clear primary topic and target query.</x:v>
      </x:c>
      <x:c r="F6" s="16" t="str">
        <x:v>PASS</x:v>
      </x:c>
      <x:c r="G6" s="16" t="str">
        <x:v>The title and H2 definition accurately serve readers looking for a dieline explanation; contextual introduction is relevant, not a search-intent failure.</x:v>
      </x:c>
      <x:c r="H6" s="16"/>
      <x:c r="I6" s="16" t="str">
        <x:v>L229-L236 · https://print247.us/post/what-is-a-dieline-in-packaging-and-print-a-detailed-guide</x:v>
      </x:c>
    </x:row>
    <x:row r="7" ht="38" customHeight="1">
      <x:c r="A7" s="16" t="n">
        <x:v>1</x:v>
      </x:c>
      <x:c r="B7" s="16" t="str">
        <x:v>Dieline guide</x:v>
      </x:c>
      <x:c r="C7" s="16" t="str">
        <x:v>0-1</x:v>
      </x:c>
      <x:c r="D7" s="16" t="str">
        <x:v>Search Intent &amp; Topic Targeting</x:v>
      </x:c>
      <x:c r="E7" s="16" t="str">
        <x:v>The title accurately reflects what the article delivers.</x:v>
      </x:c>
      <x:c r="F7" s="16" t="str">
        <x:v>PASS</x:v>
      </x:c>
      <x:c r="G7" s="16" t="str">
        <x:v>The title and H2 definition accurately serve readers looking for a dieline explanation; contextual introduction is relevant, not a search-intent failure.</x:v>
      </x:c>
      <x:c r="H7" s="16"/>
      <x:c r="I7" s="16" t="str">
        <x:v>L229-L236 · https://print247.us/post/what-is-a-dieline-in-packaging-and-print-a-detailed-guide</x:v>
      </x:c>
    </x:row>
    <x:row r="8" ht="38" customHeight="1">
      <x:c r="A8" s="16" t="n">
        <x:v>1</x:v>
      </x:c>
      <x:c r="B8" s="16" t="str">
        <x:v>Dieline guide</x:v>
      </x:c>
      <x:c r="C8" s="16" t="str">
        <x:v>0-2</x:v>
      </x:c>
      <x:c r="D8" s="16" t="str">
        <x:v>Search Intent &amp; Topic Targeting</x:v>
      </x:c>
      <x:c r="E8" s="16" t="str">
        <x:v>The introduction answers or directly addresses the main search intent.</x:v>
      </x:c>
      <x:c r="F8" s="16" t="str">
        <x:v>ACCEPTABLE</x:v>
      </x:c>
      <x:c r="G8" s="16" t="str">
        <x:v>The title and H2 definition accurately serve readers looking for a dieline explanation; contextual introduction is relevant, not a search-intent failure. This is an acceptable editorial choice or non-material limitation, with no standalone score penalty.</x:v>
      </x:c>
      <x:c r="H8" s="16"/>
      <x:c r="I8" s="16" t="str">
        <x:v>L229-L236 · https://print247.us/post/what-is-a-dieline-in-packaging-and-print-a-detailed-guide</x:v>
      </x:c>
    </x:row>
    <x:row r="9" ht="38" customHeight="1">
      <x:c r="A9" s="16" t="n">
        <x:v>1</x:v>
      </x:c>
      <x:c r="B9" s="16" t="str">
        <x:v>Dieline guide</x:v>
      </x:c>
      <x:c r="C9" s="16" t="str">
        <x:v>0-3</x:v>
      </x:c>
      <x:c r="D9" s="16" t="str">
        <x:v>Search Intent &amp; Topic Targeting</x:v>
      </x:c>
      <x:c r="E9" s="16" t="str">
        <x:v>The content solves the reader’s primary problem.</x:v>
      </x:c>
      <x:c r="F9" s="16" t="str">
        <x:v>PASS</x:v>
      </x:c>
      <x:c r="G9" s="16" t="str">
        <x:v>The title and H2 definition accurately serve readers looking for a dieline explanation; contextual introduction is relevant, not a search-intent failure.</x:v>
      </x:c>
      <x:c r="H9" s="16"/>
      <x:c r="I9" s="16" t="str">
        <x:v>L229-L236 · https://print247.us/post/what-is-a-dieline-in-packaging-and-print-a-detailed-guide</x:v>
      </x:c>
    </x:row>
    <x:row r="10" ht="38" customHeight="1">
      <x:c r="A10" s="16" t="n">
        <x:v>1</x:v>
      </x:c>
      <x:c r="B10" s="16" t="str">
        <x:v>Dieline guide</x:v>
      </x:c>
      <x:c r="C10" s="16" t="str">
        <x:v>0-4</x:v>
      </x:c>
      <x:c r="D10" s="16" t="str">
        <x:v>Search Intent &amp; Topic Targeting</x:v>
      </x:c>
      <x:c r="E10" s="16" t="str">
        <x:v>Sections stay focused on the main topic without unnecessary tangents.</x:v>
      </x:c>
      <x:c r="F10" s="16" t="str">
        <x:v>ACCEPTABLE</x:v>
      </x:c>
      <x:c r="G10" s="16" t="str">
        <x:v>The title and H2 definition accurately serve readers looking for a dieline explanation; contextual introduction is relevant, not a search-intent failure. This is an acceptable editorial choice or non-material limitation, with no standalone score penalty.</x:v>
      </x:c>
      <x:c r="H10" s="16"/>
      <x:c r="I10" s="16" t="str">
        <x:v>L229-L236 · https://print247.us/post/what-is-a-dieline-in-packaging-and-print-a-detailed-guide</x:v>
      </x:c>
    </x:row>
    <x:row r="11" ht="38" customHeight="1">
      <x:c r="A11" s="16" t="n">
        <x:v>1</x:v>
      </x:c>
      <x:c r="B11" s="16" t="str">
        <x:v>Dieline guide</x:v>
      </x:c>
      <x:c r="C11" s="16" t="str">
        <x:v>0-5</x:v>
      </x:c>
      <x:c r="D11" s="16" t="str">
        <x:v>Search Intent &amp; Topic Targeting</x:v>
      </x:c>
      <x:c r="E11" s="16" t="str">
        <x:v>The article matches the expected informational or commercial intent.</x:v>
      </x:c>
      <x:c r="F11" s="16" t="str">
        <x:v>PASS</x:v>
      </x:c>
      <x:c r="G11" s="16" t="str">
        <x:v>The title and H2 definition accurately serve readers looking for a dieline explanation; contextual introduction is relevant, not a search-intent failure.</x:v>
      </x:c>
      <x:c r="H11" s="16"/>
      <x:c r="I11" s="16" t="str">
        <x:v>L229-L236 · https://print247.us/post/what-is-a-dieline-in-packaging-and-print-a-detailed-guide</x:v>
      </x:c>
    </x:row>
    <x:row r="12" ht="38" customHeight="1">
      <x:c r="A12" s="16" t="n">
        <x:v>1</x:v>
      </x:c>
      <x:c r="B12" s="16" t="str">
        <x:v>Dieline guide</x:v>
      </x:c>
      <x:c r="C12" s="16" t="str">
        <x:v>1-0</x:v>
      </x:c>
      <x:c r="D12" s="16" t="str">
        <x:v>Factual Accuracy &amp; Research</x:v>
      </x:c>
      <x:c r="E12" s="16" t="str">
        <x:v>Product, material, and packaging terminology is accurate.</x:v>
      </x:c>
      <x:c r="F12" s="16" t="str">
        <x:v>FAIL</x:v>
      </x:c>
      <x:c r="G12" s="16" t="str">
        <x:v>Dielines are needed for die-cut or structurally converted items, not automatically every poster, banner or printing job. The statement contradicts the narrower earlier examples.</x:v>
      </x:c>
      <x:c r="H12" s="16" t="str">
        <x:v>HB01-01</x:v>
      </x:c>
      <x:c r="I12" s="16" t="str">
        <x:v>L233-L339 · https://print247.us/post/what-is-a-dieline-in-packaging-and-print-a-detailed-guide</x:v>
      </x:c>
    </x:row>
    <x:row r="13" ht="38" customHeight="1">
      <x:c r="A13" s="16" t="n">
        <x:v>1</x:v>
      </x:c>
      <x:c r="B13" s="16" t="str">
        <x:v>Dieline guide</x:v>
      </x:c>
      <x:c r="C13" s="16" t="str">
        <x:v>1-1</x:v>
      </x:c>
      <x:c r="D13" s="16" t="str">
        <x:v>Factual Accuracy &amp; Research</x:v>
      </x:c>
      <x:c r="E13" s="16" t="str">
        <x:v>Specifications, dimensions, and technical statements are correct.</x:v>
      </x:c>
      <x:c r="F13" s="16" t="str">
        <x:v>FAIL</x:v>
      </x:c>
      <x:c r="G13" s="16" t="str">
        <x:v>Dielines are needed for die-cut or structurally converted items, not automatically every poster, banner or printing job. The statement contradicts the narrower earlier examples. Vector cut/crease paths and many logos should be vector, but high-resolution photographic raster images can be appropriate.</x:v>
      </x:c>
      <x:c r="H13" s="16" t="str">
        <x:v>HB01-01, HB01-02</x:v>
      </x:c>
      <x:c r="I13" s="16" t="str">
        <x:v>L233-L339 · https://print247.us/post/what-is-a-dieline-in-packaging-and-print-a-detailed-guide</x:v>
      </x:c>
    </x:row>
    <x:row r="14" ht="38" customHeight="1">
      <x:c r="A14" s="16" t="n">
        <x:v>1</x:v>
      </x:c>
      <x:c r="B14" s="16" t="str">
        <x:v>Dieline guide</x:v>
      </x:c>
      <x:c r="C14" s="16" t="str">
        <x:v>1-2</x:v>
      </x:c>
      <x:c r="D14" s="16" t="str">
        <x:v>Factual Accuracy &amp; Research</x:v>
      </x:c>
      <x:c r="E14" s="16" t="str">
        <x:v>Statistics and significant factual claims have credible support.</x:v>
      </x:c>
      <x:c r="F14" s="16" t="str">
        <x:v>NEEDS IMPROVEMENT</x:v>
      </x:c>
      <x:c r="G14" s="16" t="str">
        <x:v>A precise dieline reduces risk but cannot by itself guarantee flawless output across materials, tolerances, cutting and assembly.</x:v>
      </x:c>
      <x:c r="H14" s="16" t="str">
        <x:v>HB01-04</x:v>
      </x:c>
      <x:c r="I14" s="16" t="str">
        <x:v>L233-L339 · https://print247.us/post/what-is-a-dieline-in-packaging-and-print-a-detailed-guide</x:v>
      </x:c>
    </x:row>
    <x:row r="15" ht="38" customHeight="1">
      <x:c r="A15" s="16" t="n">
        <x:v>1</x:v>
      </x:c>
      <x:c r="B15" s="16" t="str">
        <x:v>Dieline guide</x:v>
      </x:c>
      <x:c r="C15" s="16" t="str">
        <x:v>1-3</x:v>
      </x:c>
      <x:c r="D15" s="16" t="str">
        <x:v>Factual Accuracy &amp; Research</x:v>
      </x:c>
      <x:c r="E15" s="16" t="str">
        <x:v>The content contains no misleading or contradictory claims.</x:v>
      </x:c>
      <x:c r="F15" s="16" t="str">
        <x:v>FAIL</x:v>
      </x:c>
      <x:c r="G15" s="16" t="str">
        <x:v>Dielines are needed for die-cut or structurally converted items, not automatically every poster, banner or printing job. The statement contradicts the narrower earlier examples.</x:v>
      </x:c>
      <x:c r="H15" s="16" t="str">
        <x:v>HB01-01</x:v>
      </x:c>
      <x:c r="I15" s="16" t="str">
        <x:v>L233-L339 · https://print247.us/post/what-is-a-dieline-in-packaging-and-print-a-detailed-guide</x:v>
      </x:c>
    </x:row>
    <x:row r="16" ht="38" customHeight="1">
      <x:c r="A16" s="16" t="n">
        <x:v>1</x:v>
      </x:c>
      <x:c r="B16" s="16" t="str">
        <x:v>Dieline guide</x:v>
      </x:c>
      <x:c r="C16" s="16" t="str">
        <x:v>1-4</x:v>
      </x:c>
      <x:c r="D16" s="16" t="str">
        <x:v>Factual Accuracy &amp; Research</x:v>
      </x:c>
      <x:c r="E16" s="16" t="str">
        <x:v>Explanations demonstrate genuine subject-matter understanding.</x:v>
      </x:c>
      <x:c r="F16" s="16" t="str">
        <x:v>NEEDS IMPROVEMENT</x:v>
      </x:c>
      <x:c r="G16" s="16" t="str">
        <x:v>Vector cut/crease paths and many logos should be vector, but high-resolution photographic raster images can be appropriate.</x:v>
      </x:c>
      <x:c r="H16" s="16" t="str">
        <x:v>HB01-02</x:v>
      </x:c>
      <x:c r="I16" s="16" t="str">
        <x:v>L233-L339 · https://print247.us/post/what-is-a-dieline-in-packaging-and-print-a-detailed-guide</x:v>
      </x:c>
    </x:row>
    <x:row r="17" ht="38" customHeight="1">
      <x:c r="A17" s="16" t="n">
        <x:v>1</x:v>
      </x:c>
      <x:c r="B17" s="16" t="str">
        <x:v>Dieline guide</x:v>
      </x:c>
      <x:c r="C17" s="16" t="str">
        <x:v>1-5</x:v>
      </x:c>
      <x:c r="D17" s="16" t="str">
        <x:v>Factual Accuracy &amp; Research</x:v>
      </x:c>
      <x:c r="E17" s="16" t="str">
        <x:v>The information is relevant and accurate for US B2B buyers.</x:v>
      </x:c>
      <x:c r="F17" s="16" t="str">
        <x:v>PASS</x:v>
      </x:c>
      <x:c r="G17" s="16" t="str">
        <x:v>Dieline cut/fold/bleed/safe-zone basics are broadly useful. The conclusion makes a universal printing claim that needs correction.</x:v>
      </x:c>
      <x:c r="H17" s="16"/>
      <x:c r="I17" s="16" t="str">
        <x:v>L233-L339 · https://print247.us/post/what-is-a-dieline-in-packaging-and-print-a-detailed-guide</x:v>
      </x:c>
    </x:row>
    <x:row r="18" ht="38" customHeight="1">
      <x:c r="A18" s="16" t="n">
        <x:v>1</x:v>
      </x:c>
      <x:c r="B18" s="16" t="str">
        <x:v>Dieline guide</x:v>
      </x:c>
      <x:c r="C18" s="16" t="str">
        <x:v>2-0</x:v>
      </x:c>
      <x:c r="D18" s="16" t="str">
        <x:v>Semantic SEO &amp; Topical Coverage</x:v>
      </x:c>
      <x:c r="E18" s="16" t="str">
        <x:v>Important entities, attributes, and subtopics are covered.</x:v>
      </x:c>
      <x:c r="F18" s="16" t="str">
        <x:v>PASS</x:v>
      </x:c>
      <x:c r="G18" s="16" t="str">
        <x:v>Cut, crease, bleed, safe zones, glue tabs, perforation, design workflow and approval checklist are covered.</x:v>
      </x:c>
      <x:c r="H18" s="16"/>
      <x:c r="I18" s="16" t="str">
        <x:v>L233-L339 · https://print247.us/post/what-is-a-dieline-in-packaging-and-print-a-detailed-guide</x:v>
      </x:c>
    </x:row>
    <x:row r="19" ht="38" customHeight="1">
      <x:c r="A19" s="16" t="n">
        <x:v>1</x:v>
      </x:c>
      <x:c r="B19" s="16" t="str">
        <x:v>Dieline guide</x:v>
      </x:c>
      <x:c r="C19" s="16" t="str">
        <x:v>2-1</x:v>
      </x:c>
      <x:c r="D19" s="16" t="str">
        <x:v>Semantic SEO &amp; Topical Coverage</x:v>
      </x:c>
      <x:c r="E19" s="16" t="str">
        <x:v>The article explains meaningful relationships between concepts.</x:v>
      </x:c>
      <x:c r="F19" s="16" t="str">
        <x:v>PASS</x:v>
      </x:c>
      <x:c r="G19" s="16" t="str">
        <x:v>Cut, crease, bleed, safe zones, glue tabs, perforation, design workflow and approval checklist are covered.</x:v>
      </x:c>
      <x:c r="H19" s="16"/>
      <x:c r="I19" s="16" t="str">
        <x:v>L233-L339 · https://print247.us/post/what-is-a-dieline-in-packaging-and-print-a-detailed-guide</x:v>
      </x:c>
    </x:row>
    <x:row r="20" ht="38" customHeight="1">
      <x:c r="A20" s="16" t="n">
        <x:v>1</x:v>
      </x:c>
      <x:c r="B20" s="16" t="str">
        <x:v>Dieline guide</x:v>
      </x:c>
      <x:c r="C20" s="16" t="str">
        <x:v>2-2</x:v>
      </x:c>
      <x:c r="D20" s="16" t="str">
        <x:v>Semantic SEO &amp; Topical Coverage</x:v>
      </x:c>
      <x:c r="E20" s="16" t="str">
        <x:v>H2 and H3 headings follow a logical topical hierarchy.</x:v>
      </x:c>
      <x:c r="F20" s="16" t="str">
        <x:v>PASS</x:v>
      </x:c>
      <x:c r="G20" s="16" t="str">
        <x:v>Cut, crease, bleed, safe zones, glue tabs, perforation, design workflow and approval checklist are covered.</x:v>
      </x:c>
      <x:c r="H20" s="16"/>
      <x:c r="I20" s="16" t="str">
        <x:v>L233-L339 · https://print247.us/post/what-is-a-dieline-in-packaging-and-print-a-detailed-guide</x:v>
      </x:c>
    </x:row>
    <x:row r="21" ht="38" customHeight="1">
      <x:c r="A21" s="16" t="n">
        <x:v>1</x:v>
      </x:c>
      <x:c r="B21" s="16" t="str">
        <x:v>Dieline guide</x:v>
      </x:c>
      <x:c r="C21" s="16" t="str">
        <x:v>2-3</x:v>
      </x:c>
      <x:c r="D21" s="16" t="str">
        <x:v>Semantic SEO &amp; Topical Coverage</x:v>
      </x:c>
      <x:c r="E21" s="16" t="str">
        <x:v>Essential questions and decision factors are answered.</x:v>
      </x:c>
      <x:c r="F21" s="16" t="str">
        <x:v>PASS</x:v>
      </x:c>
      <x:c r="G21" s="16" t="str">
        <x:v>Cut, crease, bleed, safe zones, glue tabs, perforation, design workflow and approval checklist are covered.</x:v>
      </x:c>
      <x:c r="H21" s="16"/>
      <x:c r="I21" s="16" t="str">
        <x:v>L233-L339 · https://print247.us/post/what-is-a-dieline-in-packaging-and-print-a-detailed-guide</x:v>
      </x:c>
    </x:row>
    <x:row r="22" ht="38" customHeight="1">
      <x:c r="A22" s="16" t="n">
        <x:v>1</x:v>
      </x:c>
      <x:c r="B22" s="16" t="str">
        <x:v>Dieline guide</x:v>
      </x:c>
      <x:c r="C22" s="16" t="str">
        <x:v>2-4</x:v>
      </x:c>
      <x:c r="D22" s="16" t="str">
        <x:v>Semantic SEO &amp; Topical Coverage</x:v>
      </x:c>
      <x:c r="E22" s="16" t="str">
        <x:v>There are no major topical gaps that prevent intent satisfaction.</x:v>
      </x:c>
      <x:c r="F22" s="16" t="str">
        <x:v>PASS</x:v>
      </x:c>
      <x:c r="G22" s="16" t="str">
        <x:v>Cut, crease, bleed, safe zones, glue tabs, perforation, design workflow and approval checklist are covered.</x:v>
      </x:c>
      <x:c r="H22" s="16"/>
      <x:c r="I22" s="16" t="str">
        <x:v>L233-L339 · https://print247.us/post/what-is-a-dieline-in-packaging-and-print-a-detailed-guide</x:v>
      </x:c>
    </x:row>
    <x:row r="23" ht="38" customHeight="1">
      <x:c r="A23" s="16" t="n">
        <x:v>1</x:v>
      </x:c>
      <x:c r="B23" s="16" t="str">
        <x:v>Dieline guide</x:v>
      </x:c>
      <x:c r="C23" s="16" t="str">
        <x:v>2-5</x:v>
      </x:c>
      <x:c r="D23" s="16" t="str">
        <x:v>Semantic SEO &amp; Topical Coverage</x:v>
      </x:c>
      <x:c r="E23" s="16" t="str">
        <x:v>Sections add distinct value instead of repeating the same information.</x:v>
      </x:c>
      <x:c r="F23" s="16" t="str">
        <x:v>ACCEPTABLE</x:v>
      </x:c>
      <x:c r="G23" s="16" t="str">
        <x:v>Cut, crease, bleed, safe zones, glue tabs, perforation, design workflow and approval checklist are covered. This is an acceptable editorial choice or non-material limitation, with no standalone score penalty.</x:v>
      </x:c>
      <x:c r="H23" s="16"/>
      <x:c r="I23" s="16" t="str">
        <x:v>L233-L339 · https://print247.us/post/what-is-a-dieline-in-packaging-and-print-a-detailed-guide</x:v>
      </x:c>
    </x:row>
    <x:row r="24" ht="38" customHeight="1">
      <x:c r="A24" s="16" t="n">
        <x:v>1</x:v>
      </x:c>
      <x:c r="B24" s="16" t="str">
        <x:v>Dieline guide</x:v>
      </x:c>
      <x:c r="C24" s="16" t="str">
        <x:v>3-0</x:v>
      </x:c>
      <x:c r="D24" s="16" t="str">
        <x:v>Originality &amp; Information Gain</x:v>
      </x:c>
      <x:c r="E24" s="16" t="str">
        <x:v>The article provides more than generic definitions or descriptions.</x:v>
      </x:c>
      <x:c r="F24" s="16" t="str">
        <x:v>PASS</x:v>
      </x:c>
      <x:c r="G24" s="16" t="str">
        <x:v>Explains designer workflow and buyer preapproval checks with actionable steps.</x:v>
      </x:c>
      <x:c r="H24" s="16"/>
      <x:c r="I24" s="16" t="str">
        <x:v>L233-L339 · https://print247.us/post/what-is-a-dieline-in-packaging-and-print-a-detailed-guide</x:v>
      </x:c>
    </x:row>
    <x:row r="25" ht="38" customHeight="1">
      <x:c r="A25" s="16" t="n">
        <x:v>1</x:v>
      </x:c>
      <x:c r="B25" s="16" t="str">
        <x:v>Dieline guide</x:v>
      </x:c>
      <x:c r="C25" s="16" t="str">
        <x:v>3-1</x:v>
      </x:c>
      <x:c r="D25" s="16" t="str">
        <x:v>Originality &amp; Information Gain</x:v>
      </x:c>
      <x:c r="E25" s="16" t="str">
        <x:v>Practical examples or specific applications are included where useful.</x:v>
      </x:c>
      <x:c r="F25" s="16" t="str">
        <x:v>PASS</x:v>
      </x:c>
      <x:c r="G25" s="16" t="str">
        <x:v>Explains designer workflow and buyer preapproval checks with actionable steps.</x:v>
      </x:c>
      <x:c r="H25" s="16"/>
      <x:c r="I25" s="16" t="str">
        <x:v>L233-L339 · https://print247.us/post/what-is-a-dieline-in-packaging-and-print-a-detailed-guide</x:v>
      </x:c>
    </x:row>
    <x:row r="26" ht="38" customHeight="1">
      <x:c r="A26" s="16" t="n">
        <x:v>1</x:v>
      </x:c>
      <x:c r="B26" s="16" t="str">
        <x:v>Dieline guide</x:v>
      </x:c>
      <x:c r="C26" s="16" t="str">
        <x:v>3-2</x:v>
      </x:c>
      <x:c r="D26" s="16" t="str">
        <x:v>Originality &amp; Information Gain</x:v>
      </x:c>
      <x:c r="E26" s="16" t="str">
        <x:v>Readers receive actionable advice or decision-making guidance.</x:v>
      </x:c>
      <x:c r="F26" s="16" t="str">
        <x:v>PASS</x:v>
      </x:c>
      <x:c r="G26" s="16" t="str">
        <x:v>Explains designer workflow and buyer preapproval checks with actionable steps.</x:v>
      </x:c>
      <x:c r="H26" s="16"/>
      <x:c r="I26" s="16" t="str">
        <x:v>L233-L339 · https://print247.us/post/what-is-a-dieline-in-packaging-and-print-a-detailed-guide</x:v>
      </x:c>
    </x:row>
    <x:row r="27" ht="38" customHeight="1">
      <x:c r="A27" s="16" t="n">
        <x:v>1</x:v>
      </x:c>
      <x:c r="B27" s="16" t="str">
        <x:v>Dieline guide</x:v>
      </x:c>
      <x:c r="C27" s="16" t="str">
        <x:v>3-3</x:v>
      </x:c>
      <x:c r="D27" s="16" t="str">
        <x:v>Originality &amp; Information Gain</x:v>
      </x:c>
      <x:c r="E27" s="16" t="str">
        <x:v>Useful comparisons, specifications, or trade-offs are explained.</x:v>
      </x:c>
      <x:c r="F27" s="16" t="str">
        <x:v>PASS</x:v>
      </x:c>
      <x:c r="G27" s="16" t="str">
        <x:v>Explains designer workflow and buyer preapproval checks with actionable steps.</x:v>
      </x:c>
      <x:c r="H27" s="16"/>
      <x:c r="I27" s="16" t="str">
        <x:v>L233-L339 · https://print247.us/post/what-is-a-dieline-in-packaging-and-print-a-detailed-guide</x:v>
      </x:c>
    </x:row>
    <x:row r="28" ht="38" customHeight="1">
      <x:c r="A28" s="16" t="n">
        <x:v>1</x:v>
      </x:c>
      <x:c r="B28" s="16" t="str">
        <x:v>Dieline guide</x:v>
      </x:c>
      <x:c r="C28" s="16" t="str">
        <x:v>3-4</x:v>
      </x:c>
      <x:c r="D28" s="16" t="str">
        <x:v>Originality &amp; Information Gain</x:v>
      </x:c>
      <x:c r="E28" s="16" t="str">
        <x:v>The content offers insights relevant to real packaging purchasing decisions.</x:v>
      </x:c>
      <x:c r="F28" s="16" t="str">
        <x:v>PASS</x:v>
      </x:c>
      <x:c r="G28" s="16" t="str">
        <x:v>Explains designer workflow and buyer preapproval checks with actionable steps.</x:v>
      </x:c>
      <x:c r="H28" s="16"/>
      <x:c r="I28" s="16" t="str">
        <x:v>L233-L339 · https://print247.us/post/what-is-a-dieline-in-packaging-and-print-a-detailed-guide</x:v>
      </x:c>
    </x:row>
    <x:row r="29" ht="38" customHeight="1">
      <x:c r="A29" s="16" t="n">
        <x:v>1</x:v>
      </x:c>
      <x:c r="B29" s="16" t="str">
        <x:v>Dieline guide</x:v>
      </x:c>
      <x:c r="C29" s="16" t="str">
        <x:v>3-5</x:v>
      </x:c>
      <x:c r="D29" s="16" t="str">
        <x:v>Originality &amp; Information Gain</x:v>
      </x:c>
      <x:c r="E29" s="16" t="str">
        <x:v>There is no evident substantial duplication or unattributed copying.</x:v>
      </x:c>
      <x:c r="F29" s="16" t="str">
        <x:v>NOT VERIFIED</x:v>
      </x:c>
      <x:c r="G29" s="16" t="str">
        <x:v>External copying/originality against third-party sources was not checked.</x:v>
      </x:c>
      <x:c r="H29" s="16"/>
      <x:c r="I29" s="16" t="str">
        <x:v>L233-L339 · https://print247.us/post/what-is-a-dieline-in-packaging-and-print-a-detailed-guide</x:v>
      </x:c>
    </x:row>
    <x:row r="30" ht="38" customHeight="1">
      <x:c r="A30" s="16" t="n">
        <x:v>1</x:v>
      </x:c>
      <x:c r="B30" s="16" t="str">
        <x:v>Dieline guide</x:v>
      </x:c>
      <x:c r="C30" s="16" t="str">
        <x:v>4-0</x:v>
      </x:c>
      <x:c r="D30" s="16" t="str">
        <x:v>Structure &amp; Readability</x:v>
      </x:c>
      <x:c r="E30" s="16" t="str">
        <x:v>The introduction is concise and relevant.</x:v>
      </x:c>
      <x:c r="F30" s="16" t="str">
        <x:v>ACCEPTABLE</x:v>
      </x:c>
      <x:c r="G30" s="16" t="str">
        <x:v>The two introductory context paragraphs are acceptable; the first H2 defines dielines. Several editing problems are confined to the late supplier/conclusion passages. This is an acceptable editorial choice or non-material limitation, with no standalone score penalty.</x:v>
      </x:c>
      <x:c r="H30" s="16"/>
      <x:c r="I30" s="16" t="str">
        <x:v>L229-L236 · https://print247.us/post/what-is-a-dieline-in-packaging-and-print-a-detailed-guide</x:v>
      </x:c>
    </x:row>
    <x:row r="31" ht="38" customHeight="1">
      <x:c r="A31" s="16" t="n">
        <x:v>1</x:v>
      </x:c>
      <x:c r="B31" s="16" t="str">
        <x:v>Dieline guide</x:v>
      </x:c>
      <x:c r="C31" s="16" t="str">
        <x:v>4-1</x:v>
      </x:c>
      <x:c r="D31" s="16" t="str">
        <x:v>Structure &amp; Readability</x:v>
      </x:c>
      <x:c r="E31" s="16" t="str">
        <x:v>Headings are descriptive, clear, and logically organized.</x:v>
      </x:c>
      <x:c r="F31" s="16" t="str">
        <x:v>PASS</x:v>
      </x:c>
      <x:c r="G31" s="16" t="str">
        <x:v>The two introductory context paragraphs are acceptable; the first H2 defines dielines. Several editing problems are confined to the late supplier/conclusion passages.</x:v>
      </x:c>
      <x:c r="H31" s="16"/>
      <x:c r="I31" s="16" t="str">
        <x:v>L229-L236 · https://print247.us/post/what-is-a-dieline-in-packaging-and-print-a-detailed-guide</x:v>
      </x:c>
    </x:row>
    <x:row r="32" ht="38" customHeight="1">
      <x:c r="A32" s="16" t="n">
        <x:v>1</x:v>
      </x:c>
      <x:c r="B32" s="16" t="str">
        <x:v>Dieline guide</x:v>
      </x:c>
      <x:c r="C32" s="16" t="str">
        <x:v>4-2</x:v>
      </x:c>
      <x:c r="D32" s="16" t="str">
        <x:v>Structure &amp; Readability</x:v>
      </x:c>
      <x:c r="E32" s="16" t="str">
        <x:v>Paragraphs and sentences are easy to follow.</x:v>
      </x:c>
      <x:c r="F32" s="16" t="str">
        <x:v>PASS</x:v>
      </x:c>
      <x:c r="G32" s="16" t="str">
        <x:v>The two introductory context paragraphs are acceptable; the first H2 defines dielines. Several editing problems are confined to the late supplier/conclusion passages.</x:v>
      </x:c>
      <x:c r="H32" s="16"/>
      <x:c r="I32" s="16" t="str">
        <x:v>L229-L236 · https://print247.us/post/what-is-a-dieline-in-packaging-and-print-a-detailed-guide</x:v>
      </x:c>
    </x:row>
    <x:row r="33" ht="38" customHeight="1">
      <x:c r="A33" s="16" t="n">
        <x:v>1</x:v>
      </x:c>
      <x:c r="B33" s="16" t="str">
        <x:v>Dieline guide</x:v>
      </x:c>
      <x:c r="C33" s="16" t="str">
        <x:v>4-3</x:v>
      </x:c>
      <x:c r="D33" s="16" t="str">
        <x:v>Structure &amp; Readability</x:v>
      </x:c>
      <x:c r="E33" s="16" t="str">
        <x:v>The article progresses logically without unnecessary repetition.</x:v>
      </x:c>
      <x:c r="F33" s="16" t="str">
        <x:v>ACCEPTABLE</x:v>
      </x:c>
      <x:c r="G33" s="16" t="str">
        <x:v>The two introductory context paragraphs are acceptable; the first H2 defines dielines. Several editing problems are confined to the late supplier/conclusion passages. This is an acceptable editorial choice or non-material limitation, with no standalone score penalty.</x:v>
      </x:c>
      <x:c r="H33" s="16"/>
      <x:c r="I33" s="16" t="str">
        <x:v>L229-L236 · https://print247.us/post/what-is-a-dieline-in-packaging-and-print-a-detailed-guide</x:v>
      </x:c>
    </x:row>
    <x:row r="34" ht="38" customHeight="1">
      <x:c r="A34" s="16" t="n">
        <x:v>1</x:v>
      </x:c>
      <x:c r="B34" s="16" t="str">
        <x:v>Dieline guide</x:v>
      </x:c>
      <x:c r="C34" s="16" t="str">
        <x:v>4-4</x:v>
      </x:c>
      <x:c r="D34" s="16" t="str">
        <x:v>Structure &amp; Readability</x:v>
      </x:c>
      <x:c r="E34" s="16" t="str">
        <x:v>Tables, lists, and examples improve understanding where appropriate.</x:v>
      </x:c>
      <x:c r="F34" s="16" t="str">
        <x:v>PASS</x:v>
      </x:c>
      <x:c r="G34" s="16" t="str">
        <x:v>The two introductory context paragraphs are acceptable; the first H2 defines dielines. Several editing problems are confined to the late supplier/conclusion passages.</x:v>
      </x:c>
      <x:c r="H34" s="16"/>
      <x:c r="I34" s="16" t="str">
        <x:v>L229-L236 · https://print247.us/post/what-is-a-dieline-in-packaging-and-print-a-detailed-guide</x:v>
      </x:c>
    </x:row>
    <x:row r="35" ht="38" customHeight="1">
      <x:c r="A35" s="16" t="n">
        <x:v>1</x:v>
      </x:c>
      <x:c r="B35" s="16" t="str">
        <x:v>Dieline guide</x:v>
      </x:c>
      <x:c r="C35" s="16" t="str">
        <x:v>4-5</x:v>
      </x:c>
      <x:c r="D35" s="16" t="str">
        <x:v>Structure &amp; Readability</x:v>
      </x:c>
      <x:c r="E35" s="16" t="str">
        <x:v>The conclusion summarizes useful takeaways or next steps.</x:v>
      </x:c>
      <x:c r="F35" s="16" t="str">
        <x:v>PASS</x:v>
      </x:c>
      <x:c r="G35" s="16" t="str">
        <x:v>The two introductory context paragraphs are acceptable; the first H2 defines dielines. Several editing problems are confined to the late supplier/conclusion passages.</x:v>
      </x:c>
      <x:c r="H35" s="16"/>
      <x:c r="I35" s="16" t="str">
        <x:v>L229-L236 · https://print247.us/post/what-is-a-dieline-in-packaging-and-print-a-detailed-guide</x:v>
      </x:c>
    </x:row>
    <x:row r="36" ht="38" customHeight="1">
      <x:c r="A36" s="16" t="n">
        <x:v>1</x:v>
      </x:c>
      <x:c r="B36" s="16" t="str">
        <x:v>Dieline guide</x:v>
      </x:c>
      <x:c r="C36" s="16" t="str">
        <x:v>5-0</x:v>
      </x:c>
      <x:c r="D36" s="16" t="str">
        <x:v>Keyword Integration</x:v>
      </x:c>
      <x:c r="E36" s="16" t="str">
        <x:v>The primary keyword is used naturally in relevant locations.</x:v>
      </x:c>
      <x:c r="F36" s="16" t="str">
        <x:v>PASS</x:v>
      </x:c>
      <x:c r="G36" s="16" t="str">
        <x:v>Natural terms include dieline, bleed, safe zone, cut line, fold/crease, glue tabs, packaging layout.</x:v>
      </x:c>
      <x:c r="H36" s="16"/>
      <x:c r="I36" s="16" t="str">
        <x:v>L233-L339 · https://print247.us/post/what-is-a-dieline-in-packaging-and-print-a-detailed-guide</x:v>
      </x:c>
    </x:row>
    <x:row r="37" ht="38" customHeight="1">
      <x:c r="A37" s="16" t="n">
        <x:v>1</x:v>
      </x:c>
      <x:c r="B37" s="16" t="str">
        <x:v>Dieline guide</x:v>
      </x:c>
      <x:c r="C37" s="16" t="str">
        <x:v>5-1</x:v>
      </x:c>
      <x:c r="D37" s="16" t="str">
        <x:v>Keyword Integration</x:v>
      </x:c>
      <x:c r="E37" s="16" t="str">
        <x:v>Supporting terms and variations fit the article’s context.</x:v>
      </x:c>
      <x:c r="F37" s="16" t="str">
        <x:v>PASS</x:v>
      </x:c>
      <x:c r="G37" s="16" t="str">
        <x:v>Natural terms include dieline, bleed, safe zone, cut line, fold/crease, glue tabs, packaging layout.</x:v>
      </x:c>
      <x:c r="H37" s="16"/>
      <x:c r="I37" s="16" t="str">
        <x:v>L233-L339 · https://print247.us/post/what-is-a-dieline-in-packaging-and-print-a-detailed-guide</x:v>
      </x:c>
    </x:row>
    <x:row r="38" ht="38" customHeight="1">
      <x:c r="A38" s="16" t="n">
        <x:v>1</x:v>
      </x:c>
      <x:c r="B38" s="16" t="str">
        <x:v>Dieline guide</x:v>
      </x:c>
      <x:c r="C38" s="16" t="str">
        <x:v>5-2</x:v>
      </x:c>
      <x:c r="D38" s="16" t="str">
        <x:v>Keyword Integration</x:v>
      </x:c>
      <x:c r="E38" s="16" t="str">
        <x:v>Headings are descriptive rather than keyword-stuffed.</x:v>
      </x:c>
      <x:c r="F38" s="16" t="str">
        <x:v>PASS</x:v>
      </x:c>
      <x:c r="G38" s="16" t="str">
        <x:v>Natural terms include dieline, bleed, safe zone, cut line, fold/crease, glue tabs, packaging layout.</x:v>
      </x:c>
      <x:c r="H38" s="16"/>
      <x:c r="I38" s="16" t="str">
        <x:v>L233-L339 · https://print247.us/post/what-is-a-dieline-in-packaging-and-print-a-detailed-guide</x:v>
      </x:c>
    </x:row>
    <x:row r="39" ht="38" customHeight="1">
      <x:c r="A39" s="16" t="n">
        <x:v>1</x:v>
      </x:c>
      <x:c r="B39" s="16" t="str">
        <x:v>Dieline guide</x:v>
      </x:c>
      <x:c r="C39" s="16" t="str">
        <x:v>5-3</x:v>
      </x:c>
      <x:c r="D39" s="16" t="str">
        <x:v>Keyword Integration</x:v>
      </x:c>
      <x:c r="E39" s="16" t="str">
        <x:v>There is no excessive exact-match keyword repetition.</x:v>
      </x:c>
      <x:c r="F39" s="16" t="str">
        <x:v>PASS</x:v>
      </x:c>
      <x:c r="G39" s="16" t="str">
        <x:v>Natural terms include dieline, bleed, safe zone, cut line, fold/crease, glue tabs, packaging layout.</x:v>
      </x:c>
      <x:c r="H39" s="16"/>
      <x:c r="I39" s="16" t="str">
        <x:v>L233-L339 · https://print247.us/post/what-is-a-dieline-in-packaging-and-print-a-detailed-guide</x:v>
      </x:c>
    </x:row>
    <x:row r="40" ht="38" customHeight="1">
      <x:c r="A40" s="16" t="n">
        <x:v>1</x:v>
      </x:c>
      <x:c r="B40" s="16" t="str">
        <x:v>Dieline guide</x:v>
      </x:c>
      <x:c r="C40" s="16" t="str">
        <x:v>5-4</x:v>
      </x:c>
      <x:c r="D40" s="16" t="str">
        <x:v>Keyword Integration</x:v>
      </x:c>
      <x:c r="E40" s="16" t="str">
        <x:v>The article consistently addresses one coherent primary intent.</x:v>
      </x:c>
      <x:c r="F40" s="16" t="str">
        <x:v>PASS</x:v>
      </x:c>
      <x:c r="G40" s="16" t="str">
        <x:v>Natural terms include dieline, bleed, safe zone, cut line, fold/crease, glue tabs, packaging layout.</x:v>
      </x:c>
      <x:c r="H40" s="16"/>
      <x:c r="I40" s="16" t="str">
        <x:v>L233-L339 · https://print247.us/post/what-is-a-dieline-in-packaging-and-print-a-detailed-guide</x:v>
      </x:c>
    </x:row>
    <x:row r="41" ht="38" customHeight="1">
      <x:c r="A41" s="16" t="n">
        <x:v>1</x:v>
      </x:c>
      <x:c r="B41" s="16" t="str">
        <x:v>Dieline guide</x:v>
      </x:c>
      <x:c r="C41" s="16" t="str">
        <x:v>6-0</x:v>
      </x:c>
      <x:c r="D41" s="16" t="str">
        <x:v>B2B Audience &amp; Commercial Alignment</x:v>
      </x:c>
      <x:c r="E41" s="16" t="str">
        <x:v>The intended business buyer is clearly identifiable.</x:v>
      </x:c>
      <x:c r="F41" s="16" t="str">
        <x:v>PASS</x:v>
      </x:c>
      <x:c r="G41" s="16" t="str">
        <x:v>Brands ordering custom packaging can use the pre-approval checklist and Print247 CTA; specifications are supplier-dependent.</x:v>
      </x:c>
      <x:c r="H41" s="16"/>
      <x:c r="I41" s="16" t="str">
        <x:v>L325-L344 · https://print247.us/post/what-is-a-dieline-in-packaging-and-print-a-detailed-guide</x:v>
      </x:c>
    </x:row>
    <x:row r="42" ht="38" customHeight="1">
      <x:c r="A42" s="16" t="n">
        <x:v>1</x:v>
      </x:c>
      <x:c r="B42" s="16" t="str">
        <x:v>Dieline guide</x:v>
      </x:c>
      <x:c r="C42" s="16" t="str">
        <x:v>6-1</x:v>
      </x:c>
      <x:c r="D42" s="16" t="str">
        <x:v>B2B Audience &amp; Commercial Alignment</x:v>
      </x:c>
      <x:c r="E42" s="16" t="str">
        <x:v>The content addresses practical business or procurement needs.</x:v>
      </x:c>
      <x:c r="F42" s="16" t="str">
        <x:v>PASS</x:v>
      </x:c>
      <x:c r="G42" s="16" t="str">
        <x:v>Brands ordering custom packaging can use the pre-approval checklist and Print247 CTA; specifications are supplier-dependent.</x:v>
      </x:c>
      <x:c r="H42" s="16"/>
      <x:c r="I42" s="16" t="str">
        <x:v>L325-L344 · https://print247.us/post/what-is-a-dieline-in-packaging-and-print-a-detailed-guide</x:v>
      </x:c>
    </x:row>
    <x:row r="43" ht="38" customHeight="1">
      <x:c r="A43" s="16" t="n">
        <x:v>1</x:v>
      </x:c>
      <x:c r="B43" s="16" t="str">
        <x:v>Dieline guide</x:v>
      </x:c>
      <x:c r="C43" s="16" t="str">
        <x:v>6-2</x:v>
      </x:c>
      <x:c r="D43" s="16" t="str">
        <x:v>B2B Audience &amp; Commercial Alignment</x:v>
      </x:c>
      <x:c r="E43" s="16" t="str">
        <x:v>Relevant considerations such as MOQ, customization, materials, printing, or lead times are explained where appropriate.</x:v>
      </x:c>
      <x:c r="F43" s="16" t="str">
        <x:v>ACCEPTABLE</x:v>
      </x:c>
      <x:c r="G43" s="16" t="str">
        <x:v>Brands ordering custom packaging can use the pre-approval checklist and Print247 CTA; specifications are supplier-dependent. This is an acceptable editorial choice or non-material limitation, with no standalone score penalty.</x:v>
      </x:c>
      <x:c r="H43" s="16"/>
      <x:c r="I43" s="16" t="str">
        <x:v>L325-L344 · https://print247.us/post/what-is-a-dieline-in-packaging-and-print-a-detailed-guide</x:v>
      </x:c>
    </x:row>
    <x:row r="44" ht="38" customHeight="1">
      <x:c r="A44" s="16" t="n">
        <x:v>1</x:v>
      </x:c>
      <x:c r="B44" s="16" t="str">
        <x:v>Dieline guide</x:v>
      </x:c>
      <x:c r="C44" s="16" t="str">
        <x:v>6-3</x:v>
      </x:c>
      <x:c r="D44" s="16" t="str">
        <x:v>B2B Audience &amp; Commercial Alignment</x:v>
      </x:c>
      <x:c r="E44" s="16" t="str">
        <x:v>The content supports an informed product or packaging decision.</x:v>
      </x:c>
      <x:c r="F44" s="16" t="str">
        <x:v>PASS</x:v>
      </x:c>
      <x:c r="G44" s="16" t="str">
        <x:v>Brands ordering custom packaging can use the pre-approval checklist and Print247 CTA; specifications are supplier-dependent.</x:v>
      </x:c>
      <x:c r="H44" s="16"/>
      <x:c r="I44" s="16" t="str">
        <x:v>L325-L344 · https://print247.us/post/what-is-a-dieline-in-packaging-and-print-a-detailed-guide</x:v>
      </x:c>
    </x:row>
    <x:row r="45" ht="38" customHeight="1">
      <x:c r="A45" s="16" t="n">
        <x:v>1</x:v>
      </x:c>
      <x:c r="B45" s="16" t="str">
        <x:v>Dieline guide</x:v>
      </x:c>
      <x:c r="C45" s="16" t="str">
        <x:v>6-4</x:v>
      </x:c>
      <x:c r="D45" s="16" t="str">
        <x:v>B2B Audience &amp; Commercial Alignment</x:v>
      </x:c>
      <x:c r="E45" s="16" t="str">
        <x:v>Product or category references are contextually relevant.</x:v>
      </x:c>
      <x:c r="F45" s="16" t="str">
        <x:v>PASS</x:v>
      </x:c>
      <x:c r="G45" s="16" t="str">
        <x:v>Brands ordering custom packaging can use the pre-approval checklist and Print247 CTA; specifications are supplier-dependent.</x:v>
      </x:c>
      <x:c r="H45" s="16"/>
      <x:c r="I45" s="16" t="str">
        <x:v>L325-L344 · https://print247.us/post/what-is-a-dieline-in-packaging-and-print-a-detailed-guide</x:v>
      </x:c>
    </x:row>
    <x:row r="46" ht="38" customHeight="1">
      <x:c r="A46" s="16" t="n">
        <x:v>1</x:v>
      </x:c>
      <x:c r="B46" s="16" t="str">
        <x:v>Dieline guide</x:v>
      </x:c>
      <x:c r="C46" s="16" t="str">
        <x:v>6-5</x:v>
      </x:c>
      <x:c r="D46" s="16" t="str">
        <x:v>B2B Audience &amp; Commercial Alignment</x:v>
      </x:c>
      <x:c r="E46" s="16" t="str">
        <x:v>Commercial calls to action are helpful and appropriate to the article’s intent.</x:v>
      </x:c>
      <x:c r="F46" s="16" t="str">
        <x:v>PASS</x:v>
      </x:c>
      <x:c r="G46" s="16" t="str">
        <x:v>Brands ordering custom packaging can use the pre-approval checklist and Print247 CTA; specifications are supplier-dependent.</x:v>
      </x:c>
      <x:c r="H46" s="16"/>
      <x:c r="I46" s="16" t="str">
        <x:v>L325-L344 · https://print247.us/post/what-is-a-dieline-in-packaging-and-print-a-detailed-guide</x:v>
      </x:c>
    </x:row>
    <x:row r="47" ht="38" customHeight="1">
      <x:c r="A47" s="16" t="n">
        <x:v>1</x:v>
      </x:c>
      <x:c r="B47" s="16" t="str">
        <x:v>Dieline guide</x:v>
      </x:c>
      <x:c r="C47" s="16" t="str">
        <x:v>7-0</x:v>
      </x:c>
      <x:c r="D47" s="16" t="str">
        <x:v>Internal Linking</x:v>
      </x:c>
      <x:c r="E47" s="16" t="str">
        <x:v>Relevant internal links are included where useful.</x:v>
      </x:c>
      <x:c r="F47" s="16" t="str">
        <x:v>PASS</x:v>
      </x:c>
      <x:c r="G47" s="16" t="str">
        <x:v>Relevant contextual links include folding cartons, mailer boxes, sleeves and packaging services; destination status not independently tested.</x:v>
      </x:c>
      <x:c r="H47" s="16"/>
      <x:c r="I47" s="16" t="str">
        <x:v>L233-L339 · https://print247.us/post/what-is-a-dieline-in-packaging-and-print-a-detailed-guide</x:v>
      </x:c>
    </x:row>
    <x:row r="48" ht="38" customHeight="1">
      <x:c r="A48" s="16" t="n">
        <x:v>1</x:v>
      </x:c>
      <x:c r="B48" s="16" t="str">
        <x:v>Dieline guide</x:v>
      </x:c>
      <x:c r="C48" s="16" t="str">
        <x:v>7-1</x:v>
      </x:c>
      <x:c r="D48" s="16" t="str">
        <x:v>Internal Linking</x:v>
      </x:c>
      <x:c r="E48" s="16" t="str">
        <x:v>Anchor text clearly describes the destination.</x:v>
      </x:c>
      <x:c r="F48" s="16" t="str">
        <x:v>PASS</x:v>
      </x:c>
      <x:c r="G48" s="16" t="str">
        <x:v>Relevant contextual links include folding cartons, mailer boxes, sleeves and packaging services; destination status not independently tested.</x:v>
      </x:c>
      <x:c r="H48" s="16"/>
      <x:c r="I48" s="16" t="str">
        <x:v>L233-L339 · https://print247.us/post/what-is-a-dieline-in-packaging-and-print-a-detailed-guide</x:v>
      </x:c>
    </x:row>
    <x:row r="49" ht="38" customHeight="1">
      <x:c r="A49" s="16" t="n">
        <x:v>1</x:v>
      </x:c>
      <x:c r="B49" s="16" t="str">
        <x:v>Dieline guide</x:v>
      </x:c>
      <x:c r="C49" s="16" t="str">
        <x:v>7-2</x:v>
      </x:c>
      <x:c r="D49" s="16" t="str">
        <x:v>Internal Linking</x:v>
      </x:c>
      <x:c r="E49" s="16" t="str">
        <x:v>Linked product, category, or informational pages are contextually relevant.</x:v>
      </x:c>
      <x:c r="F49" s="16" t="str">
        <x:v>PASS</x:v>
      </x:c>
      <x:c r="G49" s="16" t="str">
        <x:v>Relevant contextual links include folding cartons, mailer boxes, sleeves and packaging services; destination status not independently tested.</x:v>
      </x:c>
      <x:c r="H49" s="16"/>
      <x:c r="I49" s="16" t="str">
        <x:v>L233-L339 · https://print247.us/post/what-is-a-dieline-in-packaging-and-print-a-detailed-guide</x:v>
      </x:c>
    </x:row>
    <x:row r="50" ht="38" customHeight="1">
      <x:c r="A50" s="16" t="n">
        <x:v>1</x:v>
      </x:c>
      <x:c r="B50" s="16" t="str">
        <x:v>Dieline guide</x:v>
      </x:c>
      <x:c r="C50" s="16" t="str">
        <x:v>7-3</x:v>
      </x:c>
      <x:c r="D50" s="16" t="str">
        <x:v>Internal Linking</x:v>
      </x:c>
      <x:c r="E50" s="16" t="str">
        <x:v>Links lead to appropriate working destinations.</x:v>
      </x:c>
      <x:c r="F50" s="16" t="str">
        <x:v>NOT VERIFIED</x:v>
      </x:c>
      <x:c r="G50" s="16" t="str">
        <x:v>Link HTTP resolution, redirects, indexability and exhaustive alternate destinations were not independently tested.</x:v>
      </x:c>
      <x:c r="H50" s="16"/>
      <x:c r="I50" s="16" t="str">
        <x:v>L233-L339 · https://print247.us/post/what-is-a-dieline-in-packaging-and-print-a-detailed-guide</x:v>
      </x:c>
    </x:row>
    <x:row r="51" ht="38" customHeight="1">
      <x:c r="A51" s="16" t="n">
        <x:v>1</x:v>
      </x:c>
      <x:c r="B51" s="16" t="str">
        <x:v>Dieline guide</x:v>
      </x:c>
      <x:c r="C51" s="16" t="str">
        <x:v>7-4</x:v>
      </x:c>
      <x:c r="D51" s="16" t="str">
        <x:v>Internal Linking</x:v>
      </x:c>
      <x:c r="E51" s="16" t="str">
        <x:v>Important natural internal linking opportunities are not overlooked.</x:v>
      </x:c>
      <x:c r="F51" s="16" t="str">
        <x:v>NOT VERIFIED</x:v>
      </x:c>
      <x:c r="G51" s="16" t="str">
        <x:v>Link HTTP resolution, redirects, indexability and exhaustive alternate destinations were not independently tested.</x:v>
      </x:c>
      <x:c r="H51" s="16"/>
      <x:c r="I51" s="16" t="str">
        <x:v>L233-L339 · https://print247.us/post/what-is-a-dieline-in-packaging-and-print-a-detailed-guide</x:v>
      </x:c>
    </x:row>
    <x:row r="52" ht="38" customHeight="1">
      <x:c r="A52" s="16" t="n">
        <x:v>1</x:v>
      </x:c>
      <x:c r="B52" s="16" t="str">
        <x:v>Dieline guide</x:v>
      </x:c>
      <x:c r="C52" s="16" t="str">
        <x:v>8-0</x:v>
      </x:c>
      <x:c r="D52" s="16" t="str">
        <x:v>Grammar &amp; Editorial Quality</x:v>
      </x:c>
      <x:c r="E52" s="16" t="str">
        <x:v>Grammar, spelling, and punctuation are correct.</x:v>
      </x:c>
      <x:c r="F52" s="16" t="str">
        <x:v>NEEDS IMPROVEMENT</x:v>
      </x:c>
      <x:c r="G52" s="16" t="str">
        <x:v>The sentence stops before stating what happens to the final piece, interrupting a customer-facing explanation. This is more consequential than isolated punctuation.</x:v>
      </x:c>
      <x:c r="H52" s="16" t="str">
        <x:v>HB01-03</x:v>
      </x:c>
      <x:c r="I52" s="16" t="str">
        <x:v>L340-L347 · https://print247.us/post/what-is-a-dieline-in-packaging-and-print-a-detailed-guide</x:v>
      </x:c>
    </x:row>
    <x:row r="53" ht="38" customHeight="1">
      <x:c r="A53" s="16" t="n">
        <x:v>1</x:v>
      </x:c>
      <x:c r="B53" s="16" t="str">
        <x:v>Dieline guide</x:v>
      </x:c>
      <x:c r="C53" s="16" t="str">
        <x:v>8-1</x:v>
      </x:c>
      <x:c r="D53" s="16" t="str">
        <x:v>Grammar &amp; Editorial Quality</x:v>
      </x:c>
      <x:c r="E53" s="16" t="str">
        <x:v>American English conventions are applied consistently.</x:v>
      </x:c>
      <x:c r="F53" s="16" t="str">
        <x:v>PASS</x:v>
      </x:c>
      <x:c r="G53" s="16" t="str">
        <x:v>Readable overall; a broken supplier sentence and a few absolute claims are worth editing. Isolated punctuation is not a reason to fail.</x:v>
      </x:c>
      <x:c r="H53" s="16"/>
      <x:c r="I53" s="16" t="str">
        <x:v>L340-L347 · https://print247.us/post/what-is-a-dieline-in-packaging-and-print-a-detailed-guide</x:v>
      </x:c>
    </x:row>
    <x:row r="54" ht="38" customHeight="1">
      <x:c r="A54" s="16" t="n">
        <x:v>1</x:v>
      </x:c>
      <x:c r="B54" s="16" t="str">
        <x:v>Dieline guide</x:v>
      </x:c>
      <x:c r="C54" s="16" t="str">
        <x:v>8-2</x:v>
      </x:c>
      <x:c r="D54" s="16" t="str">
        <x:v>Grammar &amp; Editorial Quality</x:v>
      </x:c>
      <x:c r="E54" s="16" t="str">
        <x:v>Sentences sound natural and professional.</x:v>
      </x:c>
      <x:c r="F54" s="16" t="str">
        <x:v>NEEDS IMPROVEMENT</x:v>
      </x:c>
      <x:c r="G54" s="16" t="str">
        <x:v>The sentence stops before stating what happens to the final piece, interrupting a customer-facing explanation. This is more consequential than isolated punctuation.</x:v>
      </x:c>
      <x:c r="H54" s="16" t="str">
        <x:v>HB01-03</x:v>
      </x:c>
      <x:c r="I54" s="16" t="str">
        <x:v>L340-L347 · https://print247.us/post/what-is-a-dieline-in-packaging-and-print-a-detailed-guide</x:v>
      </x:c>
    </x:row>
    <x:row r="55" ht="38" customHeight="1">
      <x:c r="A55" s="16" t="n">
        <x:v>1</x:v>
      </x:c>
      <x:c r="B55" s="16" t="str">
        <x:v>Dieline guide</x:v>
      </x:c>
      <x:c r="C55" s="16" t="str">
        <x:v>8-3</x:v>
      </x:c>
      <x:c r="D55" s="16" t="str">
        <x:v>Grammar &amp; Editorial Quality</x:v>
      </x:c>
      <x:c r="E55" s="16" t="str">
        <x:v>Terminology and brand voice remain consistent.</x:v>
      </x:c>
      <x:c r="F55" s="16" t="str">
        <x:v>ACCEPTABLE</x:v>
      </x:c>
      <x:c r="G55" s="16" t="str">
        <x:v>Readable overall; a broken supplier sentence and a few absolute claims are worth editing. Isolated punctuation is not a reason to fail. This is an acceptable editorial choice or non-material limitation, with no standalone score penalty.</x:v>
      </x:c>
      <x:c r="H55" s="16"/>
      <x:c r="I55" s="16" t="str">
        <x:v>L340-L347 · https://print247.us/post/what-is-a-dieline-in-packaging-and-print-a-detailed-guide</x:v>
      </x:c>
    </x:row>
    <x:row r="56" ht="38" customHeight="1">
      <x:c r="A56" s="16" t="n">
        <x:v>1</x:v>
      </x:c>
      <x:c r="B56" s="16" t="str">
        <x:v>Dieline guide</x:v>
      </x:c>
      <x:c r="C56" s="16" t="str">
        <x:v>8-4</x:v>
      </x:c>
      <x:c r="D56" s="16" t="str">
        <x:v>Grammar &amp; Editorial Quality</x:v>
      </x:c>
      <x:c r="E56" s="16" t="str">
        <x:v>Filler, awkward phrasing, and unnecessary repetition are minimized.</x:v>
      </x:c>
      <x:c r="F56" s="16" t="str">
        <x:v>ACCEPTABLE</x:v>
      </x:c>
      <x:c r="G56" s="16" t="str">
        <x:v>Readable overall; a broken supplier sentence and a few absolute claims are worth editing. Isolated punctuation is not a reason to fail. This is an acceptable editorial choice or non-material limitation, with no standalone score penalty.</x:v>
      </x:c>
      <x:c r="H56" s="16"/>
      <x:c r="I56" s="16" t="str">
        <x:v>L340-L347 · https://print247.us/post/what-is-a-dieline-in-packaging-and-print-a-detailed-guide</x:v>
      </x:c>
    </x:row>
    <x:row r="57" ht="38" customHeight="1">
      <x:c r="A57" s="16" t="n">
        <x:v>1</x:v>
      </x:c>
      <x:c r="B57" s="16" t="str">
        <x:v>Dieline guide</x:v>
      </x:c>
      <x:c r="C57" s="16" t="str">
        <x:v>8-5</x:v>
      </x:c>
      <x:c r="D57" s="16" t="str">
        <x:v>Grammar &amp; Editorial Quality</x:v>
      </x:c>
      <x:c r="E57" s="16" t="str">
        <x:v>Claims avoid exaggerated or unsupported promotional language.</x:v>
      </x:c>
      <x:c r="F57" s="16" t="str">
        <x:v>NEEDS IMPROVEMENT</x:v>
      </x:c>
      <x:c r="G57" s="16" t="str">
        <x:v>A precise dieline reduces risk but cannot by itself guarantee flawless output across materials, tolerances, cutting and assembly.</x:v>
      </x:c>
      <x:c r="H57" s="16" t="str">
        <x:v>HB01-04</x:v>
      </x:c>
      <x:c r="I57" s="16" t="str">
        <x:v>L340-L347 · https://print247.us/post/what-is-a-dieline-in-packaging-and-print-a-detailed-guide</x:v>
      </x:c>
    </x:row>
    <x:row r="58" ht="38" customHeight="1">
      <x:c r="A58" s="16" t="n">
        <x:v>2</x:v>
      </x:c>
      <x:c r="B58" s="16" t="str">
        <x:v>Christmas finishing</x:v>
      </x:c>
      <x:c r="C58" s="16" t="str">
        <x:v>0-0</x:v>
      </x:c>
      <x:c r="D58" s="16" t="str">
        <x:v>Search Intent &amp; Topic Targeting</x:v>
      </x:c>
      <x:c r="E58" s="16" t="str">
        <x:v>The article has a clear primary topic and target query.</x:v>
      </x:c>
      <x:c r="F58" s="16" t="str">
        <x:v>PASS</x:v>
      </x:c>
      <x:c r="G58" s="16" t="str">
        <x:v>The five-item finish guide serves holiday box buyers, though the fifth item is a structural upgrade rather than a surface treatment.</x:v>
      </x:c>
      <x:c r="H58" s="16"/>
      <x:c r="I58" s="16" t="str">
        <x:v>L230-L240 · https://print247.us/post/finishing-options-that-make-christmas-boxes-look-premium</x:v>
      </x:c>
    </x:row>
    <x:row r="59" ht="38" customHeight="1">
      <x:c r="A59" s="16" t="n">
        <x:v>2</x:v>
      </x:c>
      <x:c r="B59" s="16" t="str">
        <x:v>Christmas finishing</x:v>
      </x:c>
      <x:c r="C59" s="16" t="str">
        <x:v>0-1</x:v>
      </x:c>
      <x:c r="D59" s="16" t="str">
        <x:v>Search Intent &amp; Topic Targeting</x:v>
      </x:c>
      <x:c r="E59" s="16" t="str">
        <x:v>The title accurately reflects what the article delivers.</x:v>
      </x:c>
      <x:c r="F59" s="16" t="str">
        <x:v>ACCEPTABLE</x:v>
      </x:c>
      <x:c r="G59" s="16" t="str">
        <x:v>Previously flagged preference/marketing language was eliminated in management review. No verified material defect remains for this diagnostic item; no writer penalty.</x:v>
      </x:c>
      <x:c r="H59" s="16"/>
      <x:c r="I59" s="16" t="str">
        <x:v>L230-L240 · https://print247.us/post/finishing-options-that-make-christmas-boxes-look-premium</x:v>
      </x:c>
    </x:row>
    <x:row r="60" ht="38" customHeight="1">
      <x:c r="A60" s="16" t="n">
        <x:v>2</x:v>
      </x:c>
      <x:c r="B60" s="16" t="str">
        <x:v>Christmas finishing</x:v>
      </x:c>
      <x:c r="C60" s="16" t="str">
        <x:v>0-2</x:v>
      </x:c>
      <x:c r="D60" s="16" t="str">
        <x:v>Search Intent &amp; Topic Targeting</x:v>
      </x:c>
      <x:c r="E60" s="16" t="str">
        <x:v>The introduction answers or directly addresses the main search intent.</x:v>
      </x:c>
      <x:c r="F60" s="16" t="str">
        <x:v>ACCEPTABLE</x:v>
      </x:c>
      <x:c r="G60" s="16" t="str">
        <x:v>The five-item finish guide serves holiday box buyers, though the fifth item is a structural upgrade rather than a surface treatment. This is an acceptable editorial choice or non-material limitation, with no standalone score penalty.</x:v>
      </x:c>
      <x:c r="H60" s="16"/>
      <x:c r="I60" s="16" t="str">
        <x:v>L230-L240 · https://print247.us/post/finishing-options-that-make-christmas-boxes-look-premium</x:v>
      </x:c>
    </x:row>
    <x:row r="61" ht="38" customHeight="1">
      <x:c r="A61" s="16" t="n">
        <x:v>2</x:v>
      </x:c>
      <x:c r="B61" s="16" t="str">
        <x:v>Christmas finishing</x:v>
      </x:c>
      <x:c r="C61" s="16" t="str">
        <x:v>0-3</x:v>
      </x:c>
      <x:c r="D61" s="16" t="str">
        <x:v>Search Intent &amp; Topic Targeting</x:v>
      </x:c>
      <x:c r="E61" s="16" t="str">
        <x:v>The content solves the reader’s primary problem.</x:v>
      </x:c>
      <x:c r="F61" s="16" t="str">
        <x:v>PASS</x:v>
      </x:c>
      <x:c r="G61" s="16" t="str">
        <x:v>The five-item finish guide serves holiday box buyers, though the fifth item is a structural upgrade rather than a surface treatment.</x:v>
      </x:c>
      <x:c r="H61" s="16"/>
      <x:c r="I61" s="16" t="str">
        <x:v>L230-L240 · https://print247.us/post/finishing-options-that-make-christmas-boxes-look-premium</x:v>
      </x:c>
    </x:row>
    <x:row r="62" ht="38" customHeight="1">
      <x:c r="A62" s="16" t="n">
        <x:v>2</x:v>
      </x:c>
      <x:c r="B62" s="16" t="str">
        <x:v>Christmas finishing</x:v>
      </x:c>
      <x:c r="C62" s="16" t="str">
        <x:v>0-4</x:v>
      </x:c>
      <x:c r="D62" s="16" t="str">
        <x:v>Search Intent &amp; Topic Targeting</x:v>
      </x:c>
      <x:c r="E62" s="16" t="str">
        <x:v>Sections stay focused on the main topic without unnecessary tangents.</x:v>
      </x:c>
      <x:c r="F62" s="16" t="str">
        <x:v>ACCEPTABLE</x:v>
      </x:c>
      <x:c r="G62" s="16" t="str">
        <x:v>The five-item finish guide serves holiday box buyers, though the fifth item is a structural upgrade rather than a surface treatment. This is an acceptable editorial choice or non-material limitation, with no standalone score penalty.</x:v>
      </x:c>
      <x:c r="H62" s="16"/>
      <x:c r="I62" s="16" t="str">
        <x:v>L230-L240 · https://print247.us/post/finishing-options-that-make-christmas-boxes-look-premium</x:v>
      </x:c>
    </x:row>
    <x:row r="63" ht="38" customHeight="1">
      <x:c r="A63" s="16" t="n">
        <x:v>2</x:v>
      </x:c>
      <x:c r="B63" s="16" t="str">
        <x:v>Christmas finishing</x:v>
      </x:c>
      <x:c r="C63" s="16" t="str">
        <x:v>0-5</x:v>
      </x:c>
      <x:c r="D63" s="16" t="str">
        <x:v>Search Intent &amp; Topic Targeting</x:v>
      </x:c>
      <x:c r="E63" s="16" t="str">
        <x:v>The article matches the expected informational or commercial intent.</x:v>
      </x:c>
      <x:c r="F63" s="16" t="str">
        <x:v>PASS</x:v>
      </x:c>
      <x:c r="G63" s="16" t="str">
        <x:v>The five-item finish guide serves holiday box buyers, though the fifth item is a structural upgrade rather than a surface treatment.</x:v>
      </x:c>
      <x:c r="H63" s="16"/>
      <x:c r="I63" s="16" t="str">
        <x:v>L230-L240 · https://print247.us/post/finishing-options-that-make-christmas-boxes-look-premium</x:v>
      </x:c>
    </x:row>
    <x:row r="64" ht="38" customHeight="1">
      <x:c r="A64" s="16" t="n">
        <x:v>2</x:v>
      </x:c>
      <x:c r="B64" s="16" t="str">
        <x:v>Christmas finishing</x:v>
      </x:c>
      <x:c r="C64" s="16" t="str">
        <x:v>1-0</x:v>
      </x:c>
      <x:c r="D64" s="16" t="str">
        <x:v>Factual Accuracy &amp; Research</x:v>
      </x:c>
      <x:c r="E64" s="16" t="str">
        <x:v>Product, material, and packaging terminology is accurate.</x:v>
      </x:c>
      <x:c r="F64" s="16" t="str">
        <x:v>ACCEPTABLE</x:v>
      </x:c>
      <x:c r="G64" s="16" t="str">
        <x:v>Previously flagged preference/marketing language was eliminated in management review. No verified material defect remains for this diagnostic item; no writer penalty.</x:v>
      </x:c>
      <x:c r="H64" s="16"/>
      <x:c r="I64" s="16" t="str">
        <x:v>L241-L305 · https://print247.us/post/finishing-options-that-make-christmas-boxes-look-premium</x:v>
      </x:c>
    </x:row>
    <x:row r="65" ht="38" customHeight="1">
      <x:c r="A65" s="16" t="n">
        <x:v>2</x:v>
      </x:c>
      <x:c r="B65" s="16" t="str">
        <x:v>Christmas finishing</x:v>
      </x:c>
      <x:c r="C65" s="16" t="str">
        <x:v>1-1</x:v>
      </x:c>
      <x:c r="D65" s="16" t="str">
        <x:v>Factual Accuracy &amp; Research</x:v>
      </x:c>
      <x:c r="E65" s="16" t="str">
        <x:v>Specifications, dimensions, and technical statements are correct.</x:v>
      </x:c>
      <x:c r="F65" s="16" t="str">
        <x:v>PASS</x:v>
      </x:c>
      <x:c r="G65" s="16" t="str">
        <x:v>Explanations of lamination, foil, embossing and UV are broadly accurate, but marketing superlatives lack evidence.</x:v>
      </x:c>
      <x:c r="H65" s="16"/>
      <x:c r="I65" s="16" t="str">
        <x:v>L241-L305 · https://print247.us/post/finishing-options-that-make-christmas-boxes-look-premium</x:v>
      </x:c>
    </x:row>
    <x:row r="66" ht="38" customHeight="1">
      <x:c r="A66" s="16" t="n">
        <x:v>2</x:v>
      </x:c>
      <x:c r="B66" s="16" t="str">
        <x:v>Christmas finishing</x:v>
      </x:c>
      <x:c r="C66" s="16" t="str">
        <x:v>1-2</x:v>
      </x:c>
      <x:c r="D66" s="16" t="str">
        <x:v>Factual Accuracy &amp; Research</x:v>
      </x:c>
      <x:c r="E66" s="16" t="str">
        <x:v>Statistics and significant factual claims have credible support.</x:v>
      </x:c>
      <x:c r="F66" s="16" t="str">
        <x:v>ACCEPTABLE</x:v>
      </x:c>
      <x:c r="G66" s="16" t="str">
        <x:v>Previously flagged preference/marketing language was eliminated in management review. No verified material defect remains for this diagnostic item; no writer penalty.</x:v>
      </x:c>
      <x:c r="H66" s="16"/>
      <x:c r="I66" s="16" t="str">
        <x:v>L241-L305 · https://print247.us/post/finishing-options-that-make-christmas-boxes-look-premium</x:v>
      </x:c>
    </x:row>
    <x:row r="67" ht="38" customHeight="1">
      <x:c r="A67" s="16" t="n">
        <x:v>2</x:v>
      </x:c>
      <x:c r="B67" s="16" t="str">
        <x:v>Christmas finishing</x:v>
      </x:c>
      <x:c r="C67" s="16" t="str">
        <x:v>1-3</x:v>
      </x:c>
      <x:c r="D67" s="16" t="str">
        <x:v>Factual Accuracy &amp; Research</x:v>
      </x:c>
      <x:c r="E67" s="16" t="str">
        <x:v>The content contains no misleading or contradictory claims.</x:v>
      </x:c>
      <x:c r="F67" s="16" t="str">
        <x:v>PASS</x:v>
      </x:c>
      <x:c r="G67" s="16" t="str">
        <x:v>Explanations of lamination, foil, embossing and UV are broadly accurate, but marketing superlatives lack evidence.</x:v>
      </x:c>
      <x:c r="H67" s="16"/>
      <x:c r="I67" s="16" t="str">
        <x:v>L241-L305 · https://print247.us/post/finishing-options-that-make-christmas-boxes-look-premium</x:v>
      </x:c>
    </x:row>
    <x:row r="68" ht="38" customHeight="1">
      <x:c r="A68" s="16" t="n">
        <x:v>2</x:v>
      </x:c>
      <x:c r="B68" s="16" t="str">
        <x:v>Christmas finishing</x:v>
      </x:c>
      <x:c r="C68" s="16" t="str">
        <x:v>1-4</x:v>
      </x:c>
      <x:c r="D68" s="16" t="str">
        <x:v>Factual Accuracy &amp; Research</x:v>
      </x:c>
      <x:c r="E68" s="16" t="str">
        <x:v>Explanations demonstrate genuine subject-matter understanding.</x:v>
      </x:c>
      <x:c r="F68" s="16" t="str">
        <x:v>PASS</x:v>
      </x:c>
      <x:c r="G68" s="16" t="str">
        <x:v>Explanations of lamination, foil, embossing and UV are broadly accurate, but marketing superlatives lack evidence.</x:v>
      </x:c>
      <x:c r="H68" s="16"/>
      <x:c r="I68" s="16" t="str">
        <x:v>L241-L305 · https://print247.us/post/finishing-options-that-make-christmas-boxes-look-premium</x:v>
      </x:c>
    </x:row>
    <x:row r="69" ht="38" customHeight="1">
      <x:c r="A69" s="16" t="n">
        <x:v>2</x:v>
      </x:c>
      <x:c r="B69" s="16" t="str">
        <x:v>Christmas finishing</x:v>
      </x:c>
      <x:c r="C69" s="16" t="str">
        <x:v>1-5</x:v>
      </x:c>
      <x:c r="D69" s="16" t="str">
        <x:v>Factual Accuracy &amp; Research</x:v>
      </x:c>
      <x:c r="E69" s="16" t="str">
        <x:v>The information is relevant and accurate for US B2B buyers.</x:v>
      </x:c>
      <x:c r="F69" s="16" t="str">
        <x:v>PASS</x:v>
      </x:c>
      <x:c r="G69" s="16" t="str">
        <x:v>Explanations of lamination, foil, embossing and UV are broadly accurate, but marketing superlatives lack evidence.</x:v>
      </x:c>
      <x:c r="H69" s="16"/>
      <x:c r="I69" s="16" t="str">
        <x:v>L241-L305 · https://print247.us/post/finishing-options-that-make-christmas-boxes-look-premium</x:v>
      </x:c>
    </x:row>
    <x:row r="70" ht="38" customHeight="1">
      <x:c r="A70" s="16" t="n">
        <x:v>2</x:v>
      </x:c>
      <x:c r="B70" s="16" t="str">
        <x:v>Christmas finishing</x:v>
      </x:c>
      <x:c r="C70" s="16" t="str">
        <x:v>2-0</x:v>
      </x:c>
      <x:c r="D70" s="16" t="str">
        <x:v>Semantic SEO &amp; Topical Coverage</x:v>
      </x:c>
      <x:c r="E70" s="16" t="str">
        <x:v>Important entities, attributes, and subtopics are covered.</x:v>
      </x:c>
      <x:c r="F70" s="16" t="str">
        <x:v>PASS</x:v>
      </x:c>
      <x:c r="G70" s="16" t="str">
        <x:v>The guide covers four true decorative finish types plus relevant inserts/windows/inside print ideas.</x:v>
      </x:c>
      <x:c r="H70" s="16"/>
      <x:c r="I70" s="16" t="str">
        <x:v>L241-L305 · https://print247.us/post/finishing-options-that-make-christmas-boxes-look-premium</x:v>
      </x:c>
    </x:row>
    <x:row r="71" ht="38" customHeight="1">
      <x:c r="A71" s="16" t="n">
        <x:v>2</x:v>
      </x:c>
      <x:c r="B71" s="16" t="str">
        <x:v>Christmas finishing</x:v>
      </x:c>
      <x:c r="C71" s="16" t="str">
        <x:v>2-1</x:v>
      </x:c>
      <x:c r="D71" s="16" t="str">
        <x:v>Semantic SEO &amp; Topical Coverage</x:v>
      </x:c>
      <x:c r="E71" s="16" t="str">
        <x:v>The article explains meaningful relationships between concepts.</x:v>
      </x:c>
      <x:c r="F71" s="16" t="str">
        <x:v>PASS</x:v>
      </x:c>
      <x:c r="G71" s="16" t="str">
        <x:v>The guide covers four true decorative finish types plus relevant inserts/windows/inside print ideas.</x:v>
      </x:c>
      <x:c r="H71" s="16"/>
      <x:c r="I71" s="16" t="str">
        <x:v>L241-L305 · https://print247.us/post/finishing-options-that-make-christmas-boxes-look-premium</x:v>
      </x:c>
    </x:row>
    <x:row r="72" ht="38" customHeight="1">
      <x:c r="A72" s="16" t="n">
        <x:v>2</x:v>
      </x:c>
      <x:c r="B72" s="16" t="str">
        <x:v>Christmas finishing</x:v>
      </x:c>
      <x:c r="C72" s="16" t="str">
        <x:v>2-2</x:v>
      </x:c>
      <x:c r="D72" s="16" t="str">
        <x:v>Semantic SEO &amp; Topical Coverage</x:v>
      </x:c>
      <x:c r="E72" s="16" t="str">
        <x:v>H2 and H3 headings follow a logical topical hierarchy.</x:v>
      </x:c>
      <x:c r="F72" s="16" t="str">
        <x:v>PASS</x:v>
      </x:c>
      <x:c r="G72" s="16" t="str">
        <x:v>The guide covers four true decorative finish types plus relevant inserts/windows/inside print ideas.</x:v>
      </x:c>
      <x:c r="H72" s="16"/>
      <x:c r="I72" s="16" t="str">
        <x:v>L241-L305 · https://print247.us/post/finishing-options-that-make-christmas-boxes-look-premium</x:v>
      </x:c>
    </x:row>
    <x:row r="73" ht="38" customHeight="1">
      <x:c r="A73" s="16" t="n">
        <x:v>2</x:v>
      </x:c>
      <x:c r="B73" s="16" t="str">
        <x:v>Christmas finishing</x:v>
      </x:c>
      <x:c r="C73" s="16" t="str">
        <x:v>2-3</x:v>
      </x:c>
      <x:c r="D73" s="16" t="str">
        <x:v>Semantic SEO &amp; Topical Coverage</x:v>
      </x:c>
      <x:c r="E73" s="16" t="str">
        <x:v>Essential questions and decision factors are answered.</x:v>
      </x:c>
      <x:c r="F73" s="16" t="str">
        <x:v>ACCEPTABLE</x:v>
      </x:c>
      <x:c r="G73" s="16" t="str">
        <x:v>Previously flagged preference/marketing language was eliminated in management review. No verified material defect remains for this diagnostic item; no writer penalty.</x:v>
      </x:c>
      <x:c r="H73" s="16"/>
      <x:c r="I73" s="16" t="str">
        <x:v>L241-L305 · https://print247.us/post/finishing-options-that-make-christmas-boxes-look-premium</x:v>
      </x:c>
    </x:row>
    <x:row r="74" ht="38" customHeight="1">
      <x:c r="A74" s="16" t="n">
        <x:v>2</x:v>
      </x:c>
      <x:c r="B74" s="16" t="str">
        <x:v>Christmas finishing</x:v>
      </x:c>
      <x:c r="C74" s="16" t="str">
        <x:v>2-4</x:v>
      </x:c>
      <x:c r="D74" s="16" t="str">
        <x:v>Semantic SEO &amp; Topical Coverage</x:v>
      </x:c>
      <x:c r="E74" s="16" t="str">
        <x:v>There are no major topical gaps that prevent intent satisfaction.</x:v>
      </x:c>
      <x:c r="F74" s="16" t="str">
        <x:v>PASS</x:v>
      </x:c>
      <x:c r="G74" s="16" t="str">
        <x:v>The guide covers four true decorative finish types plus relevant inserts/windows/inside print ideas.</x:v>
      </x:c>
      <x:c r="H74" s="16"/>
      <x:c r="I74" s="16" t="str">
        <x:v>L241-L305 · https://print247.us/post/finishing-options-that-make-christmas-boxes-look-premium</x:v>
      </x:c>
    </x:row>
    <x:row r="75" ht="38" customHeight="1">
      <x:c r="A75" s="16" t="n">
        <x:v>2</x:v>
      </x:c>
      <x:c r="B75" s="16" t="str">
        <x:v>Christmas finishing</x:v>
      </x:c>
      <x:c r="C75" s="16" t="str">
        <x:v>2-5</x:v>
      </x:c>
      <x:c r="D75" s="16" t="str">
        <x:v>Semantic SEO &amp; Topical Coverage</x:v>
      </x:c>
      <x:c r="E75" s="16" t="str">
        <x:v>Sections add distinct value instead of repeating the same information.</x:v>
      </x:c>
      <x:c r="F75" s="16" t="str">
        <x:v>ACCEPTABLE</x:v>
      </x:c>
      <x:c r="G75" s="16" t="str">
        <x:v>The guide covers four true decorative finish types plus relevant inserts/windows/inside print ideas. This is an acceptable editorial choice or non-material limitation, with no standalone score penalty.</x:v>
      </x:c>
      <x:c r="H75" s="16"/>
      <x:c r="I75" s="16" t="str">
        <x:v>L241-L305 · https://print247.us/post/finishing-options-that-make-christmas-boxes-look-premium</x:v>
      </x:c>
    </x:row>
    <x:row r="76" ht="38" customHeight="1">
      <x:c r="A76" s="16" t="n">
        <x:v>2</x:v>
      </x:c>
      <x:c r="B76" s="16" t="str">
        <x:v>Christmas finishing</x:v>
      </x:c>
      <x:c r="C76" s="16" t="str">
        <x:v>3-0</x:v>
      </x:c>
      <x:c r="D76" s="16" t="str">
        <x:v>Originality &amp; Information Gain</x:v>
      </x:c>
      <x:c r="E76" s="16" t="str">
        <x:v>The article provides more than generic definitions or descriptions.</x:v>
      </x:c>
      <x:c r="F76" s="16" t="str">
        <x:v>PASS</x:v>
      </x:c>
      <x:c r="G76" s="16" t="str">
        <x:v>Examples are useful but a comparison of trade-offs would help select finishes for different production constraints.</x:v>
      </x:c>
      <x:c r="H76" s="16"/>
      <x:c r="I76" s="16" t="str">
        <x:v>L241-L305 · https://print247.us/post/finishing-options-that-make-christmas-boxes-look-premium</x:v>
      </x:c>
    </x:row>
    <x:row r="77" ht="38" customHeight="1">
      <x:c r="A77" s="16" t="n">
        <x:v>2</x:v>
      </x:c>
      <x:c r="B77" s="16" t="str">
        <x:v>Christmas finishing</x:v>
      </x:c>
      <x:c r="C77" s="16" t="str">
        <x:v>3-1</x:v>
      </x:c>
      <x:c r="D77" s="16" t="str">
        <x:v>Originality &amp; Information Gain</x:v>
      </x:c>
      <x:c r="E77" s="16" t="str">
        <x:v>Practical examples or specific applications are included where useful.</x:v>
      </x:c>
      <x:c r="F77" s="16" t="str">
        <x:v>PASS</x:v>
      </x:c>
      <x:c r="G77" s="16" t="str">
        <x:v>Examples are useful but a comparison of trade-offs would help select finishes for different production constraints.</x:v>
      </x:c>
      <x:c r="H77" s="16"/>
      <x:c r="I77" s="16" t="str">
        <x:v>L241-L305 · https://print247.us/post/finishing-options-that-make-christmas-boxes-look-premium</x:v>
      </x:c>
    </x:row>
    <x:row r="78" ht="38" customHeight="1">
      <x:c r="A78" s="16" t="n">
        <x:v>2</x:v>
      </x:c>
      <x:c r="B78" s="16" t="str">
        <x:v>Christmas finishing</x:v>
      </x:c>
      <x:c r="C78" s="16" t="str">
        <x:v>3-2</x:v>
      </x:c>
      <x:c r="D78" s="16" t="str">
        <x:v>Originality &amp; Information Gain</x:v>
      </x:c>
      <x:c r="E78" s="16" t="str">
        <x:v>Readers receive actionable advice or decision-making guidance.</x:v>
      </x:c>
      <x:c r="F78" s="16" t="str">
        <x:v>PASS</x:v>
      </x:c>
      <x:c r="G78" s="16" t="str">
        <x:v>Examples are useful but a comparison of trade-offs would help select finishes for different production constraints.</x:v>
      </x:c>
      <x:c r="H78" s="16"/>
      <x:c r="I78" s="16" t="str">
        <x:v>L241-L305 · https://print247.us/post/finishing-options-that-make-christmas-boxes-look-premium</x:v>
      </x:c>
    </x:row>
    <x:row r="79" ht="38" customHeight="1">
      <x:c r="A79" s="16" t="n">
        <x:v>2</x:v>
      </x:c>
      <x:c r="B79" s="16" t="str">
        <x:v>Christmas finishing</x:v>
      </x:c>
      <x:c r="C79" s="16" t="str">
        <x:v>3-3</x:v>
      </x:c>
      <x:c r="D79" s="16" t="str">
        <x:v>Originality &amp; Information Gain</x:v>
      </x:c>
      <x:c r="E79" s="16" t="str">
        <x:v>Useful comparisons, specifications, or trade-offs are explained.</x:v>
      </x:c>
      <x:c r="F79" s="16" t="str">
        <x:v>ACCEPTABLE</x:v>
      </x:c>
      <x:c r="G79" s="16" t="str">
        <x:v>Previously flagged preference/marketing language was eliminated in management review. No verified material defect remains for this diagnostic item; no writer penalty.</x:v>
      </x:c>
      <x:c r="H79" s="16"/>
      <x:c r="I79" s="16" t="str">
        <x:v>L241-L305 · https://print247.us/post/finishing-options-that-make-christmas-boxes-look-premium</x:v>
      </x:c>
    </x:row>
    <x:row r="80" ht="38" customHeight="1">
      <x:c r="A80" s="16" t="n">
        <x:v>2</x:v>
      </x:c>
      <x:c r="B80" s="16" t="str">
        <x:v>Christmas finishing</x:v>
      </x:c>
      <x:c r="C80" s="16" t="str">
        <x:v>3-4</x:v>
      </x:c>
      <x:c r="D80" s="16" t="str">
        <x:v>Originality &amp; Information Gain</x:v>
      </x:c>
      <x:c r="E80" s="16" t="str">
        <x:v>The content offers insights relevant to real packaging purchasing decisions.</x:v>
      </x:c>
      <x:c r="F80" s="16" t="str">
        <x:v>ACCEPTABLE</x:v>
      </x:c>
      <x:c r="G80" s="16" t="str">
        <x:v>Previously flagged preference/marketing language was eliminated in management review. No verified material defect remains for this diagnostic item; no writer penalty.</x:v>
      </x:c>
      <x:c r="H80" s="16"/>
      <x:c r="I80" s="16" t="str">
        <x:v>L241-L305 · https://print247.us/post/finishing-options-that-make-christmas-boxes-look-premium</x:v>
      </x:c>
    </x:row>
    <x:row r="81" ht="38" customHeight="1">
      <x:c r="A81" s="16" t="n">
        <x:v>2</x:v>
      </x:c>
      <x:c r="B81" s="16" t="str">
        <x:v>Christmas finishing</x:v>
      </x:c>
      <x:c r="C81" s="16" t="str">
        <x:v>3-5</x:v>
      </x:c>
      <x:c r="D81" s="16" t="str">
        <x:v>Originality &amp; Information Gain</x:v>
      </x:c>
      <x:c r="E81" s="16" t="str">
        <x:v>There is no evident substantial duplication or unattributed copying.</x:v>
      </x:c>
      <x:c r="F81" s="16" t="str">
        <x:v>NOT VERIFIED</x:v>
      </x:c>
      <x:c r="G81" s="16" t="str">
        <x:v>External copying/originality against third-party sources was not checked.</x:v>
      </x:c>
      <x:c r="H81" s="16"/>
      <x:c r="I81" s="16" t="str">
        <x:v>L241-L305 · https://print247.us/post/finishing-options-that-make-christmas-boxes-look-premium</x:v>
      </x:c>
    </x:row>
    <x:row r="82" ht="38" customHeight="1">
      <x:c r="A82" s="16" t="n">
        <x:v>2</x:v>
      </x:c>
      <x:c r="B82" s="16" t="str">
        <x:v>Christmas finishing</x:v>
      </x:c>
      <x:c r="C82" s="16" t="str">
        <x:v>4-0</x:v>
      </x:c>
      <x:c r="D82" s="16" t="str">
        <x:v>Structure &amp; Readability</x:v>
      </x:c>
      <x:c r="E82" s="16" t="str">
        <x:v>The introduction is concise and relevant.</x:v>
      </x:c>
      <x:c r="F82" s="16" t="str">
        <x:v>ACCEPTABLE</x:v>
      </x:c>
      <x:c r="G82" s="16" t="str">
        <x:v>Numbered finish sections and examples are clear; fifth section should be labeled an additional structural upgrade. This is an acceptable editorial choice or non-material limitation, with no standalone score penalty.</x:v>
      </x:c>
      <x:c r="H82" s="16"/>
      <x:c r="I82" s="16" t="str">
        <x:v>L230-L240 · https://print247.us/post/finishing-options-that-make-christmas-boxes-look-premium</x:v>
      </x:c>
    </x:row>
    <x:row r="83" ht="38" customHeight="1">
      <x:c r="A83" s="16" t="n">
        <x:v>2</x:v>
      </x:c>
      <x:c r="B83" s="16" t="str">
        <x:v>Christmas finishing</x:v>
      </x:c>
      <x:c r="C83" s="16" t="str">
        <x:v>4-1</x:v>
      </x:c>
      <x:c r="D83" s="16" t="str">
        <x:v>Structure &amp; Readability</x:v>
      </x:c>
      <x:c r="E83" s="16" t="str">
        <x:v>Headings are descriptive, clear, and logically organized.</x:v>
      </x:c>
      <x:c r="F83" s="16" t="str">
        <x:v>PASS</x:v>
      </x:c>
      <x:c r="G83" s="16" t="str">
        <x:v>Numbered finish sections and examples are clear; fifth section should be labeled an additional structural upgrade.</x:v>
      </x:c>
      <x:c r="H83" s="16"/>
      <x:c r="I83" s="16" t="str">
        <x:v>L230-L240 · https://print247.us/post/finishing-options-that-make-christmas-boxes-look-premium</x:v>
      </x:c>
    </x:row>
    <x:row r="84" ht="38" customHeight="1">
      <x:c r="A84" s="16" t="n">
        <x:v>2</x:v>
      </x:c>
      <x:c r="B84" s="16" t="str">
        <x:v>Christmas finishing</x:v>
      </x:c>
      <x:c r="C84" s="16" t="str">
        <x:v>4-2</x:v>
      </x:c>
      <x:c r="D84" s="16" t="str">
        <x:v>Structure &amp; Readability</x:v>
      </x:c>
      <x:c r="E84" s="16" t="str">
        <x:v>Paragraphs and sentences are easy to follow.</x:v>
      </x:c>
      <x:c r="F84" s="16" t="str">
        <x:v>PASS</x:v>
      </x:c>
      <x:c r="G84" s="16" t="str">
        <x:v>Numbered finish sections and examples are clear; fifth section should be labeled an additional structural upgrade.</x:v>
      </x:c>
      <x:c r="H84" s="16"/>
      <x:c r="I84" s="16" t="str">
        <x:v>L230-L240 · https://print247.us/post/finishing-options-that-make-christmas-boxes-look-premium</x:v>
      </x:c>
    </x:row>
    <x:row r="85" ht="38" customHeight="1">
      <x:c r="A85" s="16" t="n">
        <x:v>2</x:v>
      </x:c>
      <x:c r="B85" s="16" t="str">
        <x:v>Christmas finishing</x:v>
      </x:c>
      <x:c r="C85" s="16" t="str">
        <x:v>4-3</x:v>
      </x:c>
      <x:c r="D85" s="16" t="str">
        <x:v>Structure &amp; Readability</x:v>
      </x:c>
      <x:c r="E85" s="16" t="str">
        <x:v>The article progresses logically without unnecessary repetition.</x:v>
      </x:c>
      <x:c r="F85" s="16" t="str">
        <x:v>ACCEPTABLE</x:v>
      </x:c>
      <x:c r="G85" s="16" t="str">
        <x:v>Numbered finish sections and examples are clear; fifth section should be labeled an additional structural upgrade. This is an acceptable editorial choice or non-material limitation, with no standalone score penalty.</x:v>
      </x:c>
      <x:c r="H85" s="16"/>
      <x:c r="I85" s="16" t="str">
        <x:v>L230-L240 · https://print247.us/post/finishing-options-that-make-christmas-boxes-look-premium</x:v>
      </x:c>
    </x:row>
    <x:row r="86" ht="38" customHeight="1">
      <x:c r="A86" s="16" t="n">
        <x:v>2</x:v>
      </x:c>
      <x:c r="B86" s="16" t="str">
        <x:v>Christmas finishing</x:v>
      </x:c>
      <x:c r="C86" s="16" t="str">
        <x:v>4-4</x:v>
      </x:c>
      <x:c r="D86" s="16" t="str">
        <x:v>Structure &amp; Readability</x:v>
      </x:c>
      <x:c r="E86" s="16" t="str">
        <x:v>Tables, lists, and examples improve understanding where appropriate.</x:v>
      </x:c>
      <x:c r="F86" s="16" t="str">
        <x:v>PASS</x:v>
      </x:c>
      <x:c r="G86" s="16" t="str">
        <x:v>Numbered finish sections and examples are clear; fifth section should be labeled an additional structural upgrade.</x:v>
      </x:c>
      <x:c r="H86" s="16"/>
      <x:c r="I86" s="16" t="str">
        <x:v>L230-L240 · https://print247.us/post/finishing-options-that-make-christmas-boxes-look-premium</x:v>
      </x:c>
    </x:row>
    <x:row r="87" ht="38" customHeight="1">
      <x:c r="A87" s="16" t="n">
        <x:v>2</x:v>
      </x:c>
      <x:c r="B87" s="16" t="str">
        <x:v>Christmas finishing</x:v>
      </x:c>
      <x:c r="C87" s="16" t="str">
        <x:v>4-5</x:v>
      </x:c>
      <x:c r="D87" s="16" t="str">
        <x:v>Structure &amp; Readability</x:v>
      </x:c>
      <x:c r="E87" s="16" t="str">
        <x:v>The conclusion summarizes useful takeaways or next steps.</x:v>
      </x:c>
      <x:c r="F87" s="16" t="str">
        <x:v>PASS</x:v>
      </x:c>
      <x:c r="G87" s="16" t="str">
        <x:v>Numbered finish sections and examples are clear; fifth section should be labeled an additional structural upgrade.</x:v>
      </x:c>
      <x:c r="H87" s="16"/>
      <x:c r="I87" s="16" t="str">
        <x:v>L230-L240 · https://print247.us/post/finishing-options-that-make-christmas-boxes-look-premium</x:v>
      </x:c>
    </x:row>
    <x:row r="88" ht="38" customHeight="1">
      <x:c r="A88" s="16" t="n">
        <x:v>2</x:v>
      </x:c>
      <x:c r="B88" s="16" t="str">
        <x:v>Christmas finishing</x:v>
      </x:c>
      <x:c r="C88" s="16" t="str">
        <x:v>5-0</x:v>
      </x:c>
      <x:c r="D88" s="16" t="str">
        <x:v>Keyword Integration</x:v>
      </x:c>
      <x:c r="E88" s="16" t="str">
        <x:v>The primary keyword is used naturally in relevant locations.</x:v>
      </x:c>
      <x:c r="F88" s="16" t="str">
        <x:v>PASS</x:v>
      </x:c>
      <x:c r="G88" s="16" t="str">
        <x:v>Uses matte, soft-touch, foil stamping, embossing, debossing and spot UV naturally in headings and prose.</x:v>
      </x:c>
      <x:c r="H88" s="16"/>
      <x:c r="I88" s="16" t="str">
        <x:v>L241-L305 · https://print247.us/post/finishing-options-that-make-christmas-boxes-look-premium</x:v>
      </x:c>
    </x:row>
    <x:row r="89" ht="38" customHeight="1">
      <x:c r="A89" s="16" t="n">
        <x:v>2</x:v>
      </x:c>
      <x:c r="B89" s="16" t="str">
        <x:v>Christmas finishing</x:v>
      </x:c>
      <x:c r="C89" s="16" t="str">
        <x:v>5-1</x:v>
      </x:c>
      <x:c r="D89" s="16" t="str">
        <x:v>Keyword Integration</x:v>
      </x:c>
      <x:c r="E89" s="16" t="str">
        <x:v>Supporting terms and variations fit the article’s context.</x:v>
      </x:c>
      <x:c r="F89" s="16" t="str">
        <x:v>PASS</x:v>
      </x:c>
      <x:c r="G89" s="16" t="str">
        <x:v>Uses matte, soft-touch, foil stamping, embossing, debossing and spot UV naturally in headings and prose.</x:v>
      </x:c>
      <x:c r="H89" s="16"/>
      <x:c r="I89" s="16" t="str">
        <x:v>L241-L305 · https://print247.us/post/finishing-options-that-make-christmas-boxes-look-premium</x:v>
      </x:c>
    </x:row>
    <x:row r="90" ht="38" customHeight="1">
      <x:c r="A90" s="16" t="n">
        <x:v>2</x:v>
      </x:c>
      <x:c r="B90" s="16" t="str">
        <x:v>Christmas finishing</x:v>
      </x:c>
      <x:c r="C90" s="16" t="str">
        <x:v>5-2</x:v>
      </x:c>
      <x:c r="D90" s="16" t="str">
        <x:v>Keyword Integration</x:v>
      </x:c>
      <x:c r="E90" s="16" t="str">
        <x:v>Headings are descriptive rather than keyword-stuffed.</x:v>
      </x:c>
      <x:c r="F90" s="16" t="str">
        <x:v>PASS</x:v>
      </x:c>
      <x:c r="G90" s="16" t="str">
        <x:v>Uses matte, soft-touch, foil stamping, embossing, debossing and spot UV naturally in headings and prose.</x:v>
      </x:c>
      <x:c r="H90" s="16"/>
      <x:c r="I90" s="16" t="str">
        <x:v>L241-L305 · https://print247.us/post/finishing-options-that-make-christmas-boxes-look-premium</x:v>
      </x:c>
    </x:row>
    <x:row r="91" ht="38" customHeight="1">
      <x:c r="A91" s="16" t="n">
        <x:v>2</x:v>
      </x:c>
      <x:c r="B91" s="16" t="str">
        <x:v>Christmas finishing</x:v>
      </x:c>
      <x:c r="C91" s="16" t="str">
        <x:v>5-3</x:v>
      </x:c>
      <x:c r="D91" s="16" t="str">
        <x:v>Keyword Integration</x:v>
      </x:c>
      <x:c r="E91" s="16" t="str">
        <x:v>There is no excessive exact-match keyword repetition.</x:v>
      </x:c>
      <x:c r="F91" s="16" t="str">
        <x:v>PASS</x:v>
      </x:c>
      <x:c r="G91" s="16" t="str">
        <x:v>Uses matte, soft-touch, foil stamping, embossing, debossing and spot UV naturally in headings and prose.</x:v>
      </x:c>
      <x:c r="H91" s="16"/>
      <x:c r="I91" s="16" t="str">
        <x:v>L241-L305 · https://print247.us/post/finishing-options-that-make-christmas-boxes-look-premium</x:v>
      </x:c>
    </x:row>
    <x:row r="92" ht="38" customHeight="1">
      <x:c r="A92" s="16" t="n">
        <x:v>2</x:v>
      </x:c>
      <x:c r="B92" s="16" t="str">
        <x:v>Christmas finishing</x:v>
      </x:c>
      <x:c r="C92" s="16" t="str">
        <x:v>5-4</x:v>
      </x:c>
      <x:c r="D92" s="16" t="str">
        <x:v>Keyword Integration</x:v>
      </x:c>
      <x:c r="E92" s="16" t="str">
        <x:v>The article consistently addresses one coherent primary intent.</x:v>
      </x:c>
      <x:c r="F92" s="16" t="str">
        <x:v>PASS</x:v>
      </x:c>
      <x:c r="G92" s="16" t="str">
        <x:v>Uses matte, soft-touch, foil stamping, embossing, debossing and spot UV naturally in headings and prose.</x:v>
      </x:c>
      <x:c r="H92" s="16"/>
      <x:c r="I92" s="16" t="str">
        <x:v>L241-L305 · https://print247.us/post/finishing-options-that-make-christmas-boxes-look-premium</x:v>
      </x:c>
    </x:row>
    <x:row r="93" ht="38" customHeight="1">
      <x:c r="A93" s="16" t="n">
        <x:v>2</x:v>
      </x:c>
      <x:c r="B93" s="16" t="str">
        <x:v>Christmas finishing</x:v>
      </x:c>
      <x:c r="C93" s="16" t="str">
        <x:v>6-0</x:v>
      </x:c>
      <x:c r="D93" s="16" t="str">
        <x:v>B2B Audience &amp; Commercial Alignment</x:v>
      </x:c>
      <x:c r="E93" s="16" t="str">
        <x:v>The intended business buyer is clearly identifiable.</x:v>
      </x:c>
      <x:c r="F93" s="16" t="str">
        <x:v>PASS</x:v>
      </x:c>
      <x:c r="G93" s="16" t="str">
        <x:v>Commercial buyers are addressed directly; comparisons of substrate, budget and proof requirements could add value.</x:v>
      </x:c>
      <x:c r="H93" s="16"/>
      <x:c r="I93" s="16" t="str">
        <x:v>L237-L315 · https://print247.us/post/finishing-options-that-make-christmas-boxes-look-premium</x:v>
      </x:c>
    </x:row>
    <x:row r="94" ht="38" customHeight="1">
      <x:c r="A94" s="16" t="n">
        <x:v>2</x:v>
      </x:c>
      <x:c r="B94" s="16" t="str">
        <x:v>Christmas finishing</x:v>
      </x:c>
      <x:c r="C94" s="16" t="str">
        <x:v>6-1</x:v>
      </x:c>
      <x:c r="D94" s="16" t="str">
        <x:v>B2B Audience &amp; Commercial Alignment</x:v>
      </x:c>
      <x:c r="E94" s="16" t="str">
        <x:v>The content addresses practical business or procurement needs.</x:v>
      </x:c>
      <x:c r="F94" s="16" t="str">
        <x:v>ACCEPTABLE</x:v>
      </x:c>
      <x:c r="G94" s="16" t="str">
        <x:v>Previously flagged preference/marketing language was eliminated in management review. No verified material defect remains for this diagnostic item; no writer penalty.</x:v>
      </x:c>
      <x:c r="H94" s="16"/>
      <x:c r="I94" s="16" t="str">
        <x:v>L237-L315 · https://print247.us/post/finishing-options-that-make-christmas-boxes-look-premium</x:v>
      </x:c>
    </x:row>
    <x:row r="95" ht="38" customHeight="1">
      <x:c r="A95" s="16" t="n">
        <x:v>2</x:v>
      </x:c>
      <x:c r="B95" s="16" t="str">
        <x:v>Christmas finishing</x:v>
      </x:c>
      <x:c r="C95" s="16" t="str">
        <x:v>6-2</x:v>
      </x:c>
      <x:c r="D95" s="16" t="str">
        <x:v>B2B Audience &amp; Commercial Alignment</x:v>
      </x:c>
      <x:c r="E95" s="16" t="str">
        <x:v>Relevant considerations such as MOQ, customization, materials, printing, or lead times are explained where appropriate.</x:v>
      </x:c>
      <x:c r="F95" s="16" t="str">
        <x:v>ACCEPTABLE</x:v>
      </x:c>
      <x:c r="G95" s="16" t="str">
        <x:v>Commercial buyers are addressed directly; comparisons of substrate, budget and proof requirements could add value. This is an acceptable editorial choice or non-material limitation, with no standalone score penalty.</x:v>
      </x:c>
      <x:c r="H95" s="16"/>
      <x:c r="I95" s="16" t="str">
        <x:v>L237-L315 · https://print247.us/post/finishing-options-that-make-christmas-boxes-look-premium</x:v>
      </x:c>
    </x:row>
    <x:row r="96" ht="38" customHeight="1">
      <x:c r="A96" s="16" t="n">
        <x:v>2</x:v>
      </x:c>
      <x:c r="B96" s="16" t="str">
        <x:v>Christmas finishing</x:v>
      </x:c>
      <x:c r="C96" s="16" t="str">
        <x:v>6-3</x:v>
      </x:c>
      <x:c r="D96" s="16" t="str">
        <x:v>B2B Audience &amp; Commercial Alignment</x:v>
      </x:c>
      <x:c r="E96" s="16" t="str">
        <x:v>The content supports an informed product or packaging decision.</x:v>
      </x:c>
      <x:c r="F96" s="16" t="str">
        <x:v>PASS</x:v>
      </x:c>
      <x:c r="G96" s="16" t="str">
        <x:v>Commercial buyers are addressed directly; comparisons of substrate, budget and proof requirements could add value.</x:v>
      </x:c>
      <x:c r="H96" s="16"/>
      <x:c r="I96" s="16" t="str">
        <x:v>L237-L315 · https://print247.us/post/finishing-options-that-make-christmas-boxes-look-premium</x:v>
      </x:c>
    </x:row>
    <x:row r="97" ht="38" customHeight="1">
      <x:c r="A97" s="16" t="n">
        <x:v>2</x:v>
      </x:c>
      <x:c r="B97" s="16" t="str">
        <x:v>Christmas finishing</x:v>
      </x:c>
      <x:c r="C97" s="16" t="str">
        <x:v>6-4</x:v>
      </x:c>
      <x:c r="D97" s="16" t="str">
        <x:v>B2B Audience &amp; Commercial Alignment</x:v>
      </x:c>
      <x:c r="E97" s="16" t="str">
        <x:v>Product or category references are contextually relevant.</x:v>
      </x:c>
      <x:c r="F97" s="16" t="str">
        <x:v>PASS</x:v>
      </x:c>
      <x:c r="G97" s="16" t="str">
        <x:v>Commercial buyers are addressed directly; comparisons of substrate, budget and proof requirements could add value.</x:v>
      </x:c>
      <x:c r="H97" s="16"/>
      <x:c r="I97" s="16" t="str">
        <x:v>L237-L315 · https://print247.us/post/finishing-options-that-make-christmas-boxes-look-premium</x:v>
      </x:c>
    </x:row>
    <x:row r="98" ht="38" customHeight="1">
      <x:c r="A98" s="16" t="n">
        <x:v>2</x:v>
      </x:c>
      <x:c r="B98" s="16" t="str">
        <x:v>Christmas finishing</x:v>
      </x:c>
      <x:c r="C98" s="16" t="str">
        <x:v>6-5</x:v>
      </x:c>
      <x:c r="D98" s="16" t="str">
        <x:v>B2B Audience &amp; Commercial Alignment</x:v>
      </x:c>
      <x:c r="E98" s="16" t="str">
        <x:v>Commercial calls to action are helpful and appropriate to the article’s intent.</x:v>
      </x:c>
      <x:c r="F98" s="16" t="str">
        <x:v>PASS</x:v>
      </x:c>
      <x:c r="G98" s="16" t="str">
        <x:v>Commercial buyers are addressed directly; comparisons of substrate, budget and proof requirements could add value.</x:v>
      </x:c>
      <x:c r="H98" s="16"/>
      <x:c r="I98" s="16" t="str">
        <x:v>L237-L315 · https://print247.us/post/finishing-options-that-make-christmas-boxes-look-premium</x:v>
      </x:c>
    </x:row>
    <x:row r="99" ht="38" customHeight="1">
      <x:c r="A99" s="16" t="n">
        <x:v>2</x:v>
      </x:c>
      <x:c r="B99" s="16" t="str">
        <x:v>Christmas finishing</x:v>
      </x:c>
      <x:c r="C99" s="16" t="str">
        <x:v>7-0</x:v>
      </x:c>
      <x:c r="D99" s="16" t="str">
        <x:v>Internal Linking</x:v>
      </x:c>
      <x:c r="E99" s="16" t="str">
        <x:v>Relevant internal links are included where useful.</x:v>
      </x:c>
      <x:c r="F99" s="16" t="str">
        <x:v>PASS</x:v>
      </x:c>
      <x:c r="G99" s="16" t="str">
        <x:v>Links to Christmas packaging, window boxes and finish products appear naturally; HTTP destination behavior not independently tested.</x:v>
      </x:c>
      <x:c r="H99" s="16"/>
      <x:c r="I99" s="16" t="str">
        <x:v>L241-L305 · https://print247.us/post/finishing-options-that-make-christmas-boxes-look-premium</x:v>
      </x:c>
    </x:row>
    <x:row r="100" ht="38" customHeight="1">
      <x:c r="A100" s="16" t="n">
        <x:v>2</x:v>
      </x:c>
      <x:c r="B100" s="16" t="str">
        <x:v>Christmas finishing</x:v>
      </x:c>
      <x:c r="C100" s="16" t="str">
        <x:v>7-1</x:v>
      </x:c>
      <x:c r="D100" s="16" t="str">
        <x:v>Internal Linking</x:v>
      </x:c>
      <x:c r="E100" s="16" t="str">
        <x:v>Anchor text clearly describes the destination.</x:v>
      </x:c>
      <x:c r="F100" s="16" t="str">
        <x:v>PASS</x:v>
      </x:c>
      <x:c r="G100" s="16" t="str">
        <x:v>Links to Christmas packaging, window boxes and finish products appear naturally; HTTP destination behavior not independently tested.</x:v>
      </x:c>
      <x:c r="H100" s="16"/>
      <x:c r="I100" s="16" t="str">
        <x:v>L241-L305 · https://print247.us/post/finishing-options-that-make-christmas-boxes-look-premium</x:v>
      </x:c>
    </x:row>
    <x:row r="101" ht="38" customHeight="1">
      <x:c r="A101" s="16" t="n">
        <x:v>2</x:v>
      </x:c>
      <x:c r="B101" s="16" t="str">
        <x:v>Christmas finishing</x:v>
      </x:c>
      <x:c r="C101" s="16" t="str">
        <x:v>7-2</x:v>
      </x:c>
      <x:c r="D101" s="16" t="str">
        <x:v>Internal Linking</x:v>
      </x:c>
      <x:c r="E101" s="16" t="str">
        <x:v>Linked product, category, or informational pages are contextually relevant.</x:v>
      </x:c>
      <x:c r="F101" s="16" t="str">
        <x:v>PASS</x:v>
      </x:c>
      <x:c r="G101" s="16" t="str">
        <x:v>Links to Christmas packaging, window boxes and finish products appear naturally; HTTP destination behavior not independently tested.</x:v>
      </x:c>
      <x:c r="H101" s="16"/>
      <x:c r="I101" s="16" t="str">
        <x:v>L241-L305 · https://print247.us/post/finishing-options-that-make-christmas-boxes-look-premium</x:v>
      </x:c>
    </x:row>
    <x:row r="102" ht="38" customHeight="1">
      <x:c r="A102" s="16" t="n">
        <x:v>2</x:v>
      </x:c>
      <x:c r="B102" s="16" t="str">
        <x:v>Christmas finishing</x:v>
      </x:c>
      <x:c r="C102" s="16" t="str">
        <x:v>7-3</x:v>
      </x:c>
      <x:c r="D102" s="16" t="str">
        <x:v>Internal Linking</x:v>
      </x:c>
      <x:c r="E102" s="16" t="str">
        <x:v>Links lead to appropriate working destinations.</x:v>
      </x:c>
      <x:c r="F102" s="16" t="str">
        <x:v>NOT VERIFIED</x:v>
      </x:c>
      <x:c r="G102" s="16" t="str">
        <x:v>Link HTTP resolution, redirects, indexability and exhaustive alternate destinations were not independently tested.</x:v>
      </x:c>
      <x:c r="H102" s="16"/>
      <x:c r="I102" s="16" t="str">
        <x:v>L241-L305 · https://print247.us/post/finishing-options-that-make-christmas-boxes-look-premium</x:v>
      </x:c>
    </x:row>
    <x:row r="103" ht="38" customHeight="1">
      <x:c r="A103" s="16" t="n">
        <x:v>2</x:v>
      </x:c>
      <x:c r="B103" s="16" t="str">
        <x:v>Christmas finishing</x:v>
      </x:c>
      <x:c r="C103" s="16" t="str">
        <x:v>7-4</x:v>
      </x:c>
      <x:c r="D103" s="16" t="str">
        <x:v>Internal Linking</x:v>
      </x:c>
      <x:c r="E103" s="16" t="str">
        <x:v>Important natural internal linking opportunities are not overlooked.</x:v>
      </x:c>
      <x:c r="F103" s="16" t="str">
        <x:v>NOT VERIFIED</x:v>
      </x:c>
      <x:c r="G103" s="16" t="str">
        <x:v>Link HTTP resolution, redirects, indexability and exhaustive alternate destinations were not independently tested.</x:v>
      </x:c>
      <x:c r="H103" s="16"/>
      <x:c r="I103" s="16" t="str">
        <x:v>L241-L305 · https://print247.us/post/finishing-options-that-make-christmas-boxes-look-premium</x:v>
      </x:c>
    </x:row>
    <x:row r="104" ht="38" customHeight="1">
      <x:c r="A104" s="16" t="n">
        <x:v>2</x:v>
      </x:c>
      <x:c r="B104" s="16" t="str">
        <x:v>Christmas finishing</x:v>
      </x:c>
      <x:c r="C104" s="16" t="str">
        <x:v>8-0</x:v>
      </x:c>
      <x:c r="D104" s="16" t="str">
        <x:v>Grammar &amp; Editorial Quality</x:v>
      </x:c>
      <x:c r="E104" s="16" t="str">
        <x:v>Grammar, spelling, and punctuation are correct.</x:v>
      </x:c>
      <x:c r="F104" s="16" t="str">
        <x:v>ACCEPTABLE</x:v>
      </x:c>
      <x:c r="G104" s="16" t="str">
        <x:v>Generally professional but includes a boastful industry claim and minor unnatural constructions; minor style is acceptable. This is an acceptable editorial choice or non-material limitation, with no standalone score penalty.</x:v>
      </x:c>
      <x:c r="H104" s="16"/>
      <x:c r="I104" s="16" t="str">
        <x:v>L305-L316 · https://print247.us/post/finishing-options-that-make-christmas-boxes-look-premium</x:v>
      </x:c>
    </x:row>
    <x:row r="105" ht="38" customHeight="1">
      <x:c r="A105" s="16" t="n">
        <x:v>2</x:v>
      </x:c>
      <x:c r="B105" s="16" t="str">
        <x:v>Christmas finishing</x:v>
      </x:c>
      <x:c r="C105" s="16" t="str">
        <x:v>8-1</x:v>
      </x:c>
      <x:c r="D105" s="16" t="str">
        <x:v>Grammar &amp; Editorial Quality</x:v>
      </x:c>
      <x:c r="E105" s="16" t="str">
        <x:v>American English conventions are applied consistently.</x:v>
      </x:c>
      <x:c r="F105" s="16" t="str">
        <x:v>PASS</x:v>
      </x:c>
      <x:c r="G105" s="16" t="str">
        <x:v>Generally professional but includes a boastful industry claim and minor unnatural constructions; minor style is acceptable.</x:v>
      </x:c>
      <x:c r="H105" s="16"/>
      <x:c r="I105" s="16" t="str">
        <x:v>L305-L316 · https://print247.us/post/finishing-options-that-make-christmas-boxes-look-premium</x:v>
      </x:c>
    </x:row>
    <x:row r="106" ht="38" customHeight="1">
      <x:c r="A106" s="16" t="n">
        <x:v>2</x:v>
      </x:c>
      <x:c r="B106" s="16" t="str">
        <x:v>Christmas finishing</x:v>
      </x:c>
      <x:c r="C106" s="16" t="str">
        <x:v>8-2</x:v>
      </x:c>
      <x:c r="D106" s="16" t="str">
        <x:v>Grammar &amp; Editorial Quality</x:v>
      </x:c>
      <x:c r="E106" s="16" t="str">
        <x:v>Sentences sound natural and professional.</x:v>
      </x:c>
      <x:c r="F106" s="16" t="str">
        <x:v>ACCEPTABLE</x:v>
      </x:c>
      <x:c r="G106" s="16" t="str">
        <x:v>Generally professional but includes a boastful industry claim and minor unnatural constructions; minor style is acceptable. This is an acceptable editorial choice or non-material limitation, with no standalone score penalty.</x:v>
      </x:c>
      <x:c r="H106" s="16"/>
      <x:c r="I106" s="16" t="str">
        <x:v>L305-L316 · https://print247.us/post/finishing-options-that-make-christmas-boxes-look-premium</x:v>
      </x:c>
    </x:row>
    <x:row r="107" ht="38" customHeight="1">
      <x:c r="A107" s="16" t="n">
        <x:v>2</x:v>
      </x:c>
      <x:c r="B107" s="16" t="str">
        <x:v>Christmas finishing</x:v>
      </x:c>
      <x:c r="C107" s="16" t="str">
        <x:v>8-3</x:v>
      </x:c>
      <x:c r="D107" s="16" t="str">
        <x:v>Grammar &amp; Editorial Quality</x:v>
      </x:c>
      <x:c r="E107" s="16" t="str">
        <x:v>Terminology and brand voice remain consistent.</x:v>
      </x:c>
      <x:c r="F107" s="16" t="str">
        <x:v>ACCEPTABLE</x:v>
      </x:c>
      <x:c r="G107" s="16" t="str">
        <x:v>Generally professional but includes a boastful industry claim and minor unnatural constructions; minor style is acceptable. This is an acceptable editorial choice or non-material limitation, with no standalone score penalty.</x:v>
      </x:c>
      <x:c r="H107" s="16"/>
      <x:c r="I107" s="16" t="str">
        <x:v>L305-L316 · https://print247.us/post/finishing-options-that-make-christmas-boxes-look-premium</x:v>
      </x:c>
    </x:row>
    <x:row r="108" ht="38" customHeight="1">
      <x:c r="A108" s="16" t="n">
        <x:v>2</x:v>
      </x:c>
      <x:c r="B108" s="16" t="str">
        <x:v>Christmas finishing</x:v>
      </x:c>
      <x:c r="C108" s="16" t="str">
        <x:v>8-4</x:v>
      </x:c>
      <x:c r="D108" s="16" t="str">
        <x:v>Grammar &amp; Editorial Quality</x:v>
      </x:c>
      <x:c r="E108" s="16" t="str">
        <x:v>Filler, awkward phrasing, and unnecessary repetition are minimized.</x:v>
      </x:c>
      <x:c r="F108" s="16" t="str">
        <x:v>ACCEPTABLE</x:v>
      </x:c>
      <x:c r="G108" s="16" t="str">
        <x:v>Generally professional but includes a boastful industry claim and minor unnatural constructions; minor style is acceptable. This is an acceptable editorial choice or non-material limitation, with no standalone score penalty.</x:v>
      </x:c>
      <x:c r="H108" s="16"/>
      <x:c r="I108" s="16" t="str">
        <x:v>L305-L316 · https://print247.us/post/finishing-options-that-make-christmas-boxes-look-premium</x:v>
      </x:c>
    </x:row>
    <x:row r="109" ht="38" customHeight="1">
      <x:c r="A109" s="16" t="n">
        <x:v>2</x:v>
      </x:c>
      <x:c r="B109" s="16" t="str">
        <x:v>Christmas finishing</x:v>
      </x:c>
      <x:c r="C109" s="16" t="str">
        <x:v>8-5</x:v>
      </x:c>
      <x:c r="D109" s="16" t="str">
        <x:v>Grammar &amp; Editorial Quality</x:v>
      </x:c>
      <x:c r="E109" s="16" t="str">
        <x:v>Claims avoid exaggerated or unsupported promotional language.</x:v>
      </x:c>
      <x:c r="F109" s="16" t="str">
        <x:v>ACCEPTABLE</x:v>
      </x:c>
      <x:c r="G109" s="16" t="str">
        <x:v>Previously flagged preference/marketing language was eliminated in management review. No verified material defect remains for this diagnostic item; no writer penalty.</x:v>
      </x:c>
      <x:c r="H109" s="16"/>
      <x:c r="I109" s="16" t="str">
        <x:v>L305-L316 · https://print247.us/post/finishing-options-that-make-christmas-boxes-look-premium</x:v>
      </x:c>
    </x:row>
    <x:row r="110" ht="38" customHeight="1">
      <x:c r="A110" s="16" t="n">
        <x:v>3</x:v>
      </x:c>
      <x:c r="B110" s="16" t="str">
        <x:v>Soap box packaging</x:v>
      </x:c>
      <x:c r="C110" s="16" t="str">
        <x:v>0-0</x:v>
      </x:c>
      <x:c r="D110" s="16" t="str">
        <x:v>Search Intent &amp; Topic Targeting</x:v>
      </x:c>
      <x:c r="E110" s="16" t="str">
        <x:v>The article has a clear primary topic and target query.</x:v>
      </x:c>
      <x:c r="F110" s="16" t="str">
        <x:v>PASS</x:v>
      </x:c>
      <x:c r="G110" s="16" t="str">
        <x:v>The article supplies box types, materials and design ideas matching its title; the overview is usable before the detailed taxonomy.</x:v>
      </x:c>
      <x:c r="H110" s="16"/>
      <x:c r="I110" s="16" t="str">
        <x:v>L230-L249 · https://print247.us/post/soap-box-packaging-types-and-custom-design-ideas</x:v>
      </x:c>
    </x:row>
    <x:row r="111" ht="38" customHeight="1">
      <x:c r="A111" s="16" t="n">
        <x:v>3</x:v>
      </x:c>
      <x:c r="B111" s="16" t="str">
        <x:v>Soap box packaging</x:v>
      </x:c>
      <x:c r="C111" s="16" t="str">
        <x:v>0-1</x:v>
      </x:c>
      <x:c r="D111" s="16" t="str">
        <x:v>Search Intent &amp; Topic Targeting</x:v>
      </x:c>
      <x:c r="E111" s="16" t="str">
        <x:v>The title accurately reflects what the article delivers.</x:v>
      </x:c>
      <x:c r="F111" s="16" t="str">
        <x:v>PASS</x:v>
      </x:c>
      <x:c r="G111" s="16" t="str">
        <x:v>The article supplies box types, materials and design ideas matching its title; the overview is usable before the detailed taxonomy.</x:v>
      </x:c>
      <x:c r="H111" s="16"/>
      <x:c r="I111" s="16" t="str">
        <x:v>L230-L249 · https://print247.us/post/soap-box-packaging-types-and-custom-design-ideas</x:v>
      </x:c>
    </x:row>
    <x:row r="112" ht="38" customHeight="1">
      <x:c r="A112" s="16" t="n">
        <x:v>3</x:v>
      </x:c>
      <x:c r="B112" s="16" t="str">
        <x:v>Soap box packaging</x:v>
      </x:c>
      <x:c r="C112" s="16" t="str">
        <x:v>0-2</x:v>
      </x:c>
      <x:c r="D112" s="16" t="str">
        <x:v>Search Intent &amp; Topic Targeting</x:v>
      </x:c>
      <x:c r="E112" s="16" t="str">
        <x:v>The introduction answers or directly addresses the main search intent.</x:v>
      </x:c>
      <x:c r="F112" s="16" t="str">
        <x:v>ACCEPTABLE</x:v>
      </x:c>
      <x:c r="G112" s="16" t="str">
        <x:v>The article supplies box types, materials and design ideas matching its title; the overview is usable before the detailed taxonomy. This is an acceptable editorial choice or non-material limitation, with no standalone score penalty.</x:v>
      </x:c>
      <x:c r="H112" s="16"/>
      <x:c r="I112" s="16" t="str">
        <x:v>L230-L249 · https://print247.us/post/soap-box-packaging-types-and-custom-design-ideas</x:v>
      </x:c>
    </x:row>
    <x:row r="113" ht="38" customHeight="1">
      <x:c r="A113" s="16" t="n">
        <x:v>3</x:v>
      </x:c>
      <x:c r="B113" s="16" t="str">
        <x:v>Soap box packaging</x:v>
      </x:c>
      <x:c r="C113" s="16" t="str">
        <x:v>0-3</x:v>
      </x:c>
      <x:c r="D113" s="16" t="str">
        <x:v>Search Intent &amp; Topic Targeting</x:v>
      </x:c>
      <x:c r="E113" s="16" t="str">
        <x:v>The content solves the reader’s primary problem.</x:v>
      </x:c>
      <x:c r="F113" s="16" t="str">
        <x:v>PASS</x:v>
      </x:c>
      <x:c r="G113" s="16" t="str">
        <x:v>The article supplies box types, materials and design ideas matching its title; the overview is usable before the detailed taxonomy.</x:v>
      </x:c>
      <x:c r="H113" s="16"/>
      <x:c r="I113" s="16" t="str">
        <x:v>L230-L249 · https://print247.us/post/soap-box-packaging-types-and-custom-design-ideas</x:v>
      </x:c>
    </x:row>
    <x:row r="114" ht="38" customHeight="1">
      <x:c r="A114" s="16" t="n">
        <x:v>3</x:v>
      </x:c>
      <x:c r="B114" s="16" t="str">
        <x:v>Soap box packaging</x:v>
      </x:c>
      <x:c r="C114" s="16" t="str">
        <x:v>0-4</x:v>
      </x:c>
      <x:c r="D114" s="16" t="str">
        <x:v>Search Intent &amp; Topic Targeting</x:v>
      </x:c>
      <x:c r="E114" s="16" t="str">
        <x:v>Sections stay focused on the main topic without unnecessary tangents.</x:v>
      </x:c>
      <x:c r="F114" s="16" t="str">
        <x:v>ACCEPTABLE</x:v>
      </x:c>
      <x:c r="G114" s="16" t="str">
        <x:v>The article supplies box types, materials and design ideas matching its title; the overview is usable before the detailed taxonomy. This is an acceptable editorial choice or non-material limitation, with no standalone score penalty.</x:v>
      </x:c>
      <x:c r="H114" s="16"/>
      <x:c r="I114" s="16" t="str">
        <x:v>L230-L249 · https://print247.us/post/soap-box-packaging-types-and-custom-design-ideas</x:v>
      </x:c>
    </x:row>
    <x:row r="115" ht="38" customHeight="1">
      <x:c r="A115" s="16" t="n">
        <x:v>3</x:v>
      </x:c>
      <x:c r="B115" s="16" t="str">
        <x:v>Soap box packaging</x:v>
      </x:c>
      <x:c r="C115" s="16" t="str">
        <x:v>0-5</x:v>
      </x:c>
      <x:c r="D115" s="16" t="str">
        <x:v>Search Intent &amp; Topic Targeting</x:v>
      </x:c>
      <x:c r="E115" s="16" t="str">
        <x:v>The article matches the expected informational or commercial intent.</x:v>
      </x:c>
      <x:c r="F115" s="16" t="str">
        <x:v>PASS</x:v>
      </x:c>
      <x:c r="G115" s="16" t="str">
        <x:v>The article supplies box types, materials and design ideas matching its title; the overview is usable before the detailed taxonomy.</x:v>
      </x:c>
      <x:c r="H115" s="16"/>
      <x:c r="I115" s="16" t="str">
        <x:v>L230-L249 · https://print247.us/post/soap-box-packaging-types-and-custom-design-ideas</x:v>
      </x:c>
    </x:row>
    <x:row r="116" ht="38" customHeight="1">
      <x:c r="A116" s="16" t="n">
        <x:v>3</x:v>
      </x:c>
      <x:c r="B116" s="16" t="str">
        <x:v>Soap box packaging</x:v>
      </x:c>
      <x:c r="C116" s="16" t="str">
        <x:v>1-0</x:v>
      </x:c>
      <x:c r="D116" s="16" t="str">
        <x:v>Factual Accuracy &amp; Research</x:v>
      </x:c>
      <x:c r="E116" s="16" t="str">
        <x:v>Product, material, and packaging terminology is accurate.</x:v>
      </x:c>
      <x:c r="F116" s="16" t="str">
        <x:v>PASS</x:v>
      </x:c>
      <x:c r="G116" s="16" t="str">
        <x:v>The source-linked market figures are verified against Fortune Business Insights. Materials guidance is generally useful; the moisture-barrier language should be qualified. The introductory consumer reference to acne is not a claim that soap treats acne.</x:v>
      </x:c>
      <x:c r="H116" s="16"/>
      <x:c r="I116" s="16" t="str">
        <x:v>L249-L566 · https://print247.us/post/soap-box-packaging-types-and-custom-design-ideas</x:v>
      </x:c>
    </x:row>
    <x:row r="117" ht="38" customHeight="1">
      <x:c r="A117" s="16" t="n">
        <x:v>3</x:v>
      </x:c>
      <x:c r="B117" s="16" t="str">
        <x:v>Soap box packaging</x:v>
      </x:c>
      <x:c r="C117" s="16" t="str">
        <x:v>1-1</x:v>
      </x:c>
      <x:c r="D117" s="16" t="str">
        <x:v>Factual Accuracy &amp; Research</x:v>
      </x:c>
      <x:c r="E117" s="16" t="str">
        <x:v>Specifications, dimensions, and technical statements are correct.</x:v>
      </x:c>
      <x:c r="F117" s="16" t="str">
        <x:v>ACCEPTABLE</x:v>
      </x:c>
      <x:c r="G117" s="16" t="str">
        <x:v>Previously flagged preference/marketing language was eliminated in management review. No verified material defect remains for this diagnostic item; no writer penalty.</x:v>
      </x:c>
      <x:c r="H117" s="16"/>
      <x:c r="I117" s="16" t="str">
        <x:v>L249-L566 · https://print247.us/post/soap-box-packaging-types-and-custom-design-ideas</x:v>
      </x:c>
    </x:row>
    <x:row r="118" ht="38" customHeight="1">
      <x:c r="A118" s="16" t="n">
        <x:v>3</x:v>
      </x:c>
      <x:c r="B118" s="16" t="str">
        <x:v>Soap box packaging</x:v>
      </x:c>
      <x:c r="C118" s="16" t="str">
        <x:v>1-2</x:v>
      </x:c>
      <x:c r="D118" s="16" t="str">
        <x:v>Factual Accuracy &amp; Research</x:v>
      </x:c>
      <x:c r="E118" s="16" t="str">
        <x:v>Statistics and significant factual claims have credible support.</x:v>
      </x:c>
      <x:c r="F118" s="16" t="str">
        <x:v>PASS</x:v>
      </x:c>
      <x:c r="G118" s="16" t="str">
        <x:v>The source-linked market figures are verified against Fortune Business Insights. Materials guidance is generally useful; the moisture-barrier language should be qualified. The introductory consumer reference to acne is not a claim that soap treats acne.</x:v>
      </x:c>
      <x:c r="H118" s="16"/>
      <x:c r="I118" s="16" t="str">
        <x:v>L249-L566 · https://print247.us/post/soap-box-packaging-types-and-custom-design-ideas</x:v>
      </x:c>
    </x:row>
    <x:row r="119" ht="38" customHeight="1">
      <x:c r="A119" s="16" t="n">
        <x:v>3</x:v>
      </x:c>
      <x:c r="B119" s="16" t="str">
        <x:v>Soap box packaging</x:v>
      </x:c>
      <x:c r="C119" s="16" t="str">
        <x:v>1-3</x:v>
      </x:c>
      <x:c r="D119" s="16" t="str">
        <x:v>Factual Accuracy &amp; Research</x:v>
      </x:c>
      <x:c r="E119" s="16" t="str">
        <x:v>The content contains no misleading or contradictory claims.</x:v>
      </x:c>
      <x:c r="F119" s="16" t="str">
        <x:v>ACCEPTABLE</x:v>
      </x:c>
      <x:c r="G119" s="16" t="str">
        <x:v>Previously flagged preference/marketing language was eliminated in management review. No verified material defect remains for this diagnostic item; no writer penalty.</x:v>
      </x:c>
      <x:c r="H119" s="16"/>
      <x:c r="I119" s="16" t="str">
        <x:v>L249-L566 · https://print247.us/post/soap-box-packaging-types-and-custom-design-ideas</x:v>
      </x:c>
    </x:row>
    <x:row r="120" ht="38" customHeight="1">
      <x:c r="A120" s="16" t="n">
        <x:v>3</x:v>
      </x:c>
      <x:c r="B120" s="16" t="str">
        <x:v>Soap box packaging</x:v>
      </x:c>
      <x:c r="C120" s="16" t="str">
        <x:v>1-4</x:v>
      </x:c>
      <x:c r="D120" s="16" t="str">
        <x:v>Factual Accuracy &amp; Research</x:v>
      </x:c>
      <x:c r="E120" s="16" t="str">
        <x:v>Explanations demonstrate genuine subject-matter understanding.</x:v>
      </x:c>
      <x:c r="F120" s="16" t="str">
        <x:v>PASS</x:v>
      </x:c>
      <x:c r="G120" s="16" t="str">
        <x:v>The source-linked market figures are verified against Fortune Business Insights. Materials guidance is generally useful; the moisture-barrier language should be qualified. The introductory consumer reference to acne is not a claim that soap treats acne.</x:v>
      </x:c>
      <x:c r="H120" s="16"/>
      <x:c r="I120" s="16" t="str">
        <x:v>L249-L566 · https://print247.us/post/soap-box-packaging-types-and-custom-design-ideas</x:v>
      </x:c>
    </x:row>
    <x:row r="121" ht="38" customHeight="1">
      <x:c r="A121" s="16" t="n">
        <x:v>3</x:v>
      </x:c>
      <x:c r="B121" s="16" t="str">
        <x:v>Soap box packaging</x:v>
      </x:c>
      <x:c r="C121" s="16" t="str">
        <x:v>1-5</x:v>
      </x:c>
      <x:c r="D121" s="16" t="str">
        <x:v>Factual Accuracy &amp; Research</x:v>
      </x:c>
      <x:c r="E121" s="16" t="str">
        <x:v>The information is relevant and accurate for US B2B buyers.</x:v>
      </x:c>
      <x:c r="F121" s="16" t="str">
        <x:v>PASS</x:v>
      </x:c>
      <x:c r="G121" s="16" t="str">
        <x:v>The source-linked market figures are verified against Fortune Business Insights. Materials guidance is generally useful; the moisture-barrier language should be qualified. The introductory consumer reference to acne is not a claim that soap treats acne.</x:v>
      </x:c>
      <x:c r="H121" s="16"/>
      <x:c r="I121" s="16" t="str">
        <x:v>L249-L566 · https://print247.us/post/soap-box-packaging-types-and-custom-design-ideas</x:v>
      </x:c>
    </x:row>
    <x:row r="122" ht="38" customHeight="1">
      <x:c r="A122" s="16" t="n">
        <x:v>3</x:v>
      </x:c>
      <x:c r="B122" s="16" t="str">
        <x:v>Soap box packaging</x:v>
      </x:c>
      <x:c r="C122" s="16" t="str">
        <x:v>2-0</x:v>
      </x:c>
      <x:c r="D122" s="16" t="str">
        <x:v>Semantic SEO &amp; Topical Coverage</x:v>
      </x:c>
      <x:c r="E122" s="16" t="str">
        <x:v>Important entities, attributes, and subtopics are covered.</x:v>
      </x:c>
      <x:c r="F122" s="16" t="str">
        <x:v>PASS</x:v>
      </x:c>
      <x:c r="G122" s="16" t="str">
        <x:v>Eight box formats, multiple board materials, customization and selection tips give meaningful breadth.</x:v>
      </x:c>
      <x:c r="H122" s="16"/>
      <x:c r="I122" s="16" t="str">
        <x:v>L249-L566 · https://print247.us/post/soap-box-packaging-types-and-custom-design-ideas</x:v>
      </x:c>
    </x:row>
    <x:row r="123" ht="38" customHeight="1">
      <x:c r="A123" s="16" t="n">
        <x:v>3</x:v>
      </x:c>
      <x:c r="B123" s="16" t="str">
        <x:v>Soap box packaging</x:v>
      </x:c>
      <x:c r="C123" s="16" t="str">
        <x:v>2-1</x:v>
      </x:c>
      <x:c r="D123" s="16" t="str">
        <x:v>Semantic SEO &amp; Topical Coverage</x:v>
      </x:c>
      <x:c r="E123" s="16" t="str">
        <x:v>The article explains meaningful relationships between concepts.</x:v>
      </x:c>
      <x:c r="F123" s="16" t="str">
        <x:v>PASS</x:v>
      </x:c>
      <x:c r="G123" s="16" t="str">
        <x:v>Eight box formats, multiple board materials, customization and selection tips give meaningful breadth.</x:v>
      </x:c>
      <x:c r="H123" s="16"/>
      <x:c r="I123" s="16" t="str">
        <x:v>L249-L566 · https://print247.us/post/soap-box-packaging-types-and-custom-design-ideas</x:v>
      </x:c>
    </x:row>
    <x:row r="124" ht="38" customHeight="1">
      <x:c r="A124" s="16" t="n">
        <x:v>3</x:v>
      </x:c>
      <x:c r="B124" s="16" t="str">
        <x:v>Soap box packaging</x:v>
      </x:c>
      <x:c r="C124" s="16" t="str">
        <x:v>2-2</x:v>
      </x:c>
      <x:c r="D124" s="16" t="str">
        <x:v>Semantic SEO &amp; Topical Coverage</x:v>
      </x:c>
      <x:c r="E124" s="16" t="str">
        <x:v>H2 and H3 headings follow a logical topical hierarchy.</x:v>
      </x:c>
      <x:c r="F124" s="16" t="str">
        <x:v>PASS</x:v>
      </x:c>
      <x:c r="G124" s="16" t="str">
        <x:v>Eight box formats, multiple board materials, customization and selection tips give meaningful breadth.</x:v>
      </x:c>
      <x:c r="H124" s="16"/>
      <x:c r="I124" s="16" t="str">
        <x:v>L249-L566 · https://print247.us/post/soap-box-packaging-types-and-custom-design-ideas</x:v>
      </x:c>
    </x:row>
    <x:row r="125" ht="38" customHeight="1">
      <x:c r="A125" s="16" t="n">
        <x:v>3</x:v>
      </x:c>
      <x:c r="B125" s="16" t="str">
        <x:v>Soap box packaging</x:v>
      </x:c>
      <x:c r="C125" s="16" t="str">
        <x:v>2-3</x:v>
      </x:c>
      <x:c r="D125" s="16" t="str">
        <x:v>Semantic SEO &amp; Topical Coverage</x:v>
      </x:c>
      <x:c r="E125" s="16" t="str">
        <x:v>Essential questions and decision factors are answered.</x:v>
      </x:c>
      <x:c r="F125" s="16" t="str">
        <x:v>PASS</x:v>
      </x:c>
      <x:c r="G125" s="16" t="str">
        <x:v>Eight box formats, multiple board materials, customization and selection tips give meaningful breadth.</x:v>
      </x:c>
      <x:c r="H125" s="16"/>
      <x:c r="I125" s="16" t="str">
        <x:v>L249-L566 · https://print247.us/post/soap-box-packaging-types-and-custom-design-ideas</x:v>
      </x:c>
    </x:row>
    <x:row r="126" ht="38" customHeight="1">
      <x:c r="A126" s="16" t="n">
        <x:v>3</x:v>
      </x:c>
      <x:c r="B126" s="16" t="str">
        <x:v>Soap box packaging</x:v>
      </x:c>
      <x:c r="C126" s="16" t="str">
        <x:v>2-4</x:v>
      </x:c>
      <x:c r="D126" s="16" t="str">
        <x:v>Semantic SEO &amp; Topical Coverage</x:v>
      </x:c>
      <x:c r="E126" s="16" t="str">
        <x:v>There are no major topical gaps that prevent intent satisfaction.</x:v>
      </x:c>
      <x:c r="F126" s="16" t="str">
        <x:v>PASS</x:v>
      </x:c>
      <x:c r="G126" s="16" t="str">
        <x:v>Eight box formats, multiple board materials, customization and selection tips give meaningful breadth.</x:v>
      </x:c>
      <x:c r="H126" s="16"/>
      <x:c r="I126" s="16" t="str">
        <x:v>L249-L566 · https://print247.us/post/soap-box-packaging-types-and-custom-design-ideas</x:v>
      </x:c>
    </x:row>
    <x:row r="127" ht="38" customHeight="1">
      <x:c r="A127" s="16" t="n">
        <x:v>3</x:v>
      </x:c>
      <x:c r="B127" s="16" t="str">
        <x:v>Soap box packaging</x:v>
      </x:c>
      <x:c r="C127" s="16" t="str">
        <x:v>2-5</x:v>
      </x:c>
      <x:c r="D127" s="16" t="str">
        <x:v>Semantic SEO &amp; Topical Coverage</x:v>
      </x:c>
      <x:c r="E127" s="16" t="str">
        <x:v>Sections add distinct value instead of repeating the same information.</x:v>
      </x:c>
      <x:c r="F127" s="16" t="str">
        <x:v>ACCEPTABLE</x:v>
      </x:c>
      <x:c r="G127" s="16" t="str">
        <x:v>Eight box formats, multiple board materials, customization and selection tips give meaningful breadth. This is an acceptable editorial choice or non-material limitation, with no standalone score penalty.</x:v>
      </x:c>
      <x:c r="H127" s="16"/>
      <x:c r="I127" s="16" t="str">
        <x:v>L249-L566 · https://print247.us/post/soap-box-packaging-types-and-custom-design-ideas</x:v>
      </x:c>
    </x:row>
    <x:row r="128" ht="38" customHeight="1">
      <x:c r="A128" s="16" t="n">
        <x:v>3</x:v>
      </x:c>
      <x:c r="B128" s="16" t="str">
        <x:v>Soap box packaging</x:v>
      </x:c>
      <x:c r="C128" s="16" t="str">
        <x:v>3-0</x:v>
      </x:c>
      <x:c r="D128" s="16" t="str">
        <x:v>Originality &amp; Information Gain</x:v>
      </x:c>
      <x:c r="E128" s="16" t="str">
        <x:v>The article provides more than generic definitions or descriptions.</x:v>
      </x:c>
      <x:c r="F128" s="16" t="str">
        <x:v>PASS</x:v>
      </x:c>
      <x:c r="G128" s="16" t="str">
        <x:v>“Best for” lists and a stepwise selection section support decisions; add a printable specification handoff.</x:v>
      </x:c>
      <x:c r="H128" s="16"/>
      <x:c r="I128" s="16" t="str">
        <x:v>L249-L566 · https://print247.us/post/soap-box-packaging-types-and-custom-design-ideas</x:v>
      </x:c>
    </x:row>
    <x:row r="129" ht="38" customHeight="1">
      <x:c r="A129" s="16" t="n">
        <x:v>3</x:v>
      </x:c>
      <x:c r="B129" s="16" t="str">
        <x:v>Soap box packaging</x:v>
      </x:c>
      <x:c r="C129" s="16" t="str">
        <x:v>3-1</x:v>
      </x:c>
      <x:c r="D129" s="16" t="str">
        <x:v>Originality &amp; Information Gain</x:v>
      </x:c>
      <x:c r="E129" s="16" t="str">
        <x:v>Practical examples or specific applications are included where useful.</x:v>
      </x:c>
      <x:c r="F129" s="16" t="str">
        <x:v>PASS</x:v>
      </x:c>
      <x:c r="G129" s="16" t="str">
        <x:v>“Best for” lists and a stepwise selection section support decisions; add a printable specification handoff.</x:v>
      </x:c>
      <x:c r="H129" s="16"/>
      <x:c r="I129" s="16" t="str">
        <x:v>L249-L566 · https://print247.us/post/soap-box-packaging-types-and-custom-design-ideas</x:v>
      </x:c>
    </x:row>
    <x:row r="130" ht="38" customHeight="1">
      <x:c r="A130" s="16" t="n">
        <x:v>3</x:v>
      </x:c>
      <x:c r="B130" s="16" t="str">
        <x:v>Soap box packaging</x:v>
      </x:c>
      <x:c r="C130" s="16" t="str">
        <x:v>3-2</x:v>
      </x:c>
      <x:c r="D130" s="16" t="str">
        <x:v>Originality &amp; Information Gain</x:v>
      </x:c>
      <x:c r="E130" s="16" t="str">
        <x:v>Readers receive actionable advice or decision-making guidance.</x:v>
      </x:c>
      <x:c r="F130" s="16" t="str">
        <x:v>PASS</x:v>
      </x:c>
      <x:c r="G130" s="16" t="str">
        <x:v>“Best for” lists and a stepwise selection section support decisions; add a printable specification handoff.</x:v>
      </x:c>
      <x:c r="H130" s="16"/>
      <x:c r="I130" s="16" t="str">
        <x:v>L249-L566 · https://print247.us/post/soap-box-packaging-types-and-custom-design-ideas</x:v>
      </x:c>
    </x:row>
    <x:row r="131" ht="38" customHeight="1">
      <x:c r="A131" s="16" t="n">
        <x:v>3</x:v>
      </x:c>
      <x:c r="B131" s="16" t="str">
        <x:v>Soap box packaging</x:v>
      </x:c>
      <x:c r="C131" s="16" t="str">
        <x:v>3-3</x:v>
      </x:c>
      <x:c r="D131" s="16" t="str">
        <x:v>Originality &amp; Information Gain</x:v>
      </x:c>
      <x:c r="E131" s="16" t="str">
        <x:v>Useful comparisons, specifications, or trade-offs are explained.</x:v>
      </x:c>
      <x:c r="F131" s="16" t="str">
        <x:v>NEEDS IMPROVEMENT</x:v>
      </x:c>
      <x:c r="G131" s="16" t="str">
        <x:v>Good buyer guidance is already present, but the final step does not say which dimensions/material/quantity details a manufacturer needs to quote reliably.</x:v>
      </x:c>
      <x:c r="H131" s="16" t="str">
        <x:v>HB03-03</x:v>
      </x:c>
      <x:c r="I131" s="16" t="str">
        <x:v>L249-L566 · https://print247.us/post/soap-box-packaging-types-and-custom-design-ideas</x:v>
      </x:c>
    </x:row>
    <x:row r="132" ht="38" customHeight="1">
      <x:c r="A132" s="16" t="n">
        <x:v>3</x:v>
      </x:c>
      <x:c r="B132" s="16" t="str">
        <x:v>Soap box packaging</x:v>
      </x:c>
      <x:c r="C132" s="16" t="str">
        <x:v>3-4</x:v>
      </x:c>
      <x:c r="D132" s="16" t="str">
        <x:v>Originality &amp; Information Gain</x:v>
      </x:c>
      <x:c r="E132" s="16" t="str">
        <x:v>The content offers insights relevant to real packaging purchasing decisions.</x:v>
      </x:c>
      <x:c r="F132" s="16" t="str">
        <x:v>PASS</x:v>
      </x:c>
      <x:c r="G132" s="16" t="str">
        <x:v>“Best for” lists and a stepwise selection section support decisions; add a printable specification handoff.</x:v>
      </x:c>
      <x:c r="H132" s="16"/>
      <x:c r="I132" s="16" t="str">
        <x:v>L249-L566 · https://print247.us/post/soap-box-packaging-types-and-custom-design-ideas</x:v>
      </x:c>
    </x:row>
    <x:row r="133" ht="38" customHeight="1">
      <x:c r="A133" s="16" t="n">
        <x:v>3</x:v>
      </x:c>
      <x:c r="B133" s="16" t="str">
        <x:v>Soap box packaging</x:v>
      </x:c>
      <x:c r="C133" s="16" t="str">
        <x:v>3-5</x:v>
      </x:c>
      <x:c r="D133" s="16" t="str">
        <x:v>Originality &amp; Information Gain</x:v>
      </x:c>
      <x:c r="E133" s="16" t="str">
        <x:v>There is no evident substantial duplication or unattributed copying.</x:v>
      </x:c>
      <x:c r="F133" s="16" t="str">
        <x:v>NOT VERIFIED</x:v>
      </x:c>
      <x:c r="G133" s="16" t="str">
        <x:v>External copying/originality against third-party sources was not checked.</x:v>
      </x:c>
      <x:c r="H133" s="16"/>
      <x:c r="I133" s="16" t="str">
        <x:v>L249-L566 · https://print247.us/post/soap-box-packaging-types-and-custom-design-ideas</x:v>
      </x:c>
    </x:row>
    <x:row r="134" ht="38" customHeight="1">
      <x:c r="A134" s="16" t="n">
        <x:v>3</x:v>
      </x:c>
      <x:c r="B134" s="16" t="str">
        <x:v>Soap box packaging</x:v>
      </x:c>
      <x:c r="C134" s="16" t="str">
        <x:v>4-0</x:v>
      </x:c>
      <x:c r="D134" s="16" t="str">
        <x:v>Structure &amp; Readability</x:v>
      </x:c>
      <x:c r="E134" s="16" t="str">
        <x:v>The introduction is concise and relevant.</x:v>
      </x:c>
      <x:c r="F134" s="16" t="str">
        <x:v>ACCEPTABLE</x:v>
      </x:c>
      <x:c r="G134" s="16" t="str">
        <x:v>Headings, type-by-type examples and buying steps are navigable; some redundant sales language is tolerable. This is an acceptable editorial choice or non-material limitation, with no standalone score penalty.</x:v>
      </x:c>
      <x:c r="H134" s="16"/>
      <x:c r="I134" s="16" t="str">
        <x:v>L230-L249 · https://print247.us/post/soap-box-packaging-types-and-custom-design-ideas</x:v>
      </x:c>
    </x:row>
    <x:row r="135" ht="38" customHeight="1">
      <x:c r="A135" s="16" t="n">
        <x:v>3</x:v>
      </x:c>
      <x:c r="B135" s="16" t="str">
        <x:v>Soap box packaging</x:v>
      </x:c>
      <x:c r="C135" s="16" t="str">
        <x:v>4-1</x:v>
      </x:c>
      <x:c r="D135" s="16" t="str">
        <x:v>Structure &amp; Readability</x:v>
      </x:c>
      <x:c r="E135" s="16" t="str">
        <x:v>Headings are descriptive, clear, and logically organized.</x:v>
      </x:c>
      <x:c r="F135" s="16" t="str">
        <x:v>PASS</x:v>
      </x:c>
      <x:c r="G135" s="16" t="str">
        <x:v>Headings, type-by-type examples and buying steps are navigable; some redundant sales language is tolerable.</x:v>
      </x:c>
      <x:c r="H135" s="16"/>
      <x:c r="I135" s="16" t="str">
        <x:v>L230-L249 · https://print247.us/post/soap-box-packaging-types-and-custom-design-ideas</x:v>
      </x:c>
    </x:row>
    <x:row r="136" ht="38" customHeight="1">
      <x:c r="A136" s="16" t="n">
        <x:v>3</x:v>
      </x:c>
      <x:c r="B136" s="16" t="str">
        <x:v>Soap box packaging</x:v>
      </x:c>
      <x:c r="C136" s="16" t="str">
        <x:v>4-2</x:v>
      </x:c>
      <x:c r="D136" s="16" t="str">
        <x:v>Structure &amp; Readability</x:v>
      </x:c>
      <x:c r="E136" s="16" t="str">
        <x:v>Paragraphs and sentences are easy to follow.</x:v>
      </x:c>
      <x:c r="F136" s="16" t="str">
        <x:v>PASS</x:v>
      </x:c>
      <x:c r="G136" s="16" t="str">
        <x:v>Headings, type-by-type examples and buying steps are navigable; some redundant sales language is tolerable.</x:v>
      </x:c>
      <x:c r="H136" s="16"/>
      <x:c r="I136" s="16" t="str">
        <x:v>L230-L249 · https://print247.us/post/soap-box-packaging-types-and-custom-design-ideas</x:v>
      </x:c>
    </x:row>
    <x:row r="137" ht="38" customHeight="1">
      <x:c r="A137" s="16" t="n">
        <x:v>3</x:v>
      </x:c>
      <x:c r="B137" s="16" t="str">
        <x:v>Soap box packaging</x:v>
      </x:c>
      <x:c r="C137" s="16" t="str">
        <x:v>4-3</x:v>
      </x:c>
      <x:c r="D137" s="16" t="str">
        <x:v>Structure &amp; Readability</x:v>
      </x:c>
      <x:c r="E137" s="16" t="str">
        <x:v>The article progresses logically without unnecessary repetition.</x:v>
      </x:c>
      <x:c r="F137" s="16" t="str">
        <x:v>ACCEPTABLE</x:v>
      </x:c>
      <x:c r="G137" s="16" t="str">
        <x:v>Headings, type-by-type examples and buying steps are navigable; some redundant sales language is tolerable. This is an acceptable editorial choice or non-material limitation, with no standalone score penalty.</x:v>
      </x:c>
      <x:c r="H137" s="16"/>
      <x:c r="I137" s="16" t="str">
        <x:v>L230-L249 · https://print247.us/post/soap-box-packaging-types-and-custom-design-ideas</x:v>
      </x:c>
    </x:row>
    <x:row r="138" ht="38" customHeight="1">
      <x:c r="A138" s="16" t="n">
        <x:v>3</x:v>
      </x:c>
      <x:c r="B138" s="16" t="str">
        <x:v>Soap box packaging</x:v>
      </x:c>
      <x:c r="C138" s="16" t="str">
        <x:v>4-4</x:v>
      </x:c>
      <x:c r="D138" s="16" t="str">
        <x:v>Structure &amp; Readability</x:v>
      </x:c>
      <x:c r="E138" s="16" t="str">
        <x:v>Tables, lists, and examples improve understanding where appropriate.</x:v>
      </x:c>
      <x:c r="F138" s="16" t="str">
        <x:v>PASS</x:v>
      </x:c>
      <x:c r="G138" s="16" t="str">
        <x:v>Headings, type-by-type examples and buying steps are navigable; some redundant sales language is tolerable.</x:v>
      </x:c>
      <x:c r="H138" s="16"/>
      <x:c r="I138" s="16" t="str">
        <x:v>L230-L249 · https://print247.us/post/soap-box-packaging-types-and-custom-design-ideas</x:v>
      </x:c>
    </x:row>
    <x:row r="139" ht="38" customHeight="1">
      <x:c r="A139" s="16" t="n">
        <x:v>3</x:v>
      </x:c>
      <x:c r="B139" s="16" t="str">
        <x:v>Soap box packaging</x:v>
      </x:c>
      <x:c r="C139" s="16" t="str">
        <x:v>4-5</x:v>
      </x:c>
      <x:c r="D139" s="16" t="str">
        <x:v>Structure &amp; Readability</x:v>
      </x:c>
      <x:c r="E139" s="16" t="str">
        <x:v>The conclusion summarizes useful takeaways or next steps.</x:v>
      </x:c>
      <x:c r="F139" s="16" t="str">
        <x:v>PASS</x:v>
      </x:c>
      <x:c r="G139" s="16" t="str">
        <x:v>Headings, type-by-type examples and buying steps are navigable; some redundant sales language is tolerable.</x:v>
      </x:c>
      <x:c r="H139" s="16"/>
      <x:c r="I139" s="16" t="str">
        <x:v>L230-L249 · https://print247.us/post/soap-box-packaging-types-and-custom-design-ideas</x:v>
      </x:c>
    </x:row>
    <x:row r="140" ht="38" customHeight="1">
      <x:c r="A140" s="16" t="n">
        <x:v>3</x:v>
      </x:c>
      <x:c r="B140" s="16" t="str">
        <x:v>Soap box packaging</x:v>
      </x:c>
      <x:c r="C140" s="16" t="str">
        <x:v>5-0</x:v>
      </x:c>
      <x:c r="D140" s="16" t="str">
        <x:v>Keyword Integration</x:v>
      </x:c>
      <x:c r="E140" s="16" t="str">
        <x:v>The primary keyword is used naturally in relevant locations.</x:v>
      </x:c>
      <x:c r="F140" s="16" t="str">
        <x:v>PASS</x:v>
      </x:c>
      <x:c r="G140" s="16" t="str">
        <x:v>Relevant semantic vocabulary covers soap cartons, sleeves, kraft, SBS, corrugated, rigid, labels and finishes.</x:v>
      </x:c>
      <x:c r="H140" s="16"/>
      <x:c r="I140" s="16" t="str">
        <x:v>L249-L566 · https://print247.us/post/soap-box-packaging-types-and-custom-design-ideas</x:v>
      </x:c>
    </x:row>
    <x:row r="141" ht="38" customHeight="1">
      <x:c r="A141" s="16" t="n">
        <x:v>3</x:v>
      </x:c>
      <x:c r="B141" s="16" t="str">
        <x:v>Soap box packaging</x:v>
      </x:c>
      <x:c r="C141" s="16" t="str">
        <x:v>5-1</x:v>
      </x:c>
      <x:c r="D141" s="16" t="str">
        <x:v>Keyword Integration</x:v>
      </x:c>
      <x:c r="E141" s="16" t="str">
        <x:v>Supporting terms and variations fit the article’s context.</x:v>
      </x:c>
      <x:c r="F141" s="16" t="str">
        <x:v>PASS</x:v>
      </x:c>
      <x:c r="G141" s="16" t="str">
        <x:v>Relevant semantic vocabulary covers soap cartons, sleeves, kraft, SBS, corrugated, rigid, labels and finishes.</x:v>
      </x:c>
      <x:c r="H141" s="16"/>
      <x:c r="I141" s="16" t="str">
        <x:v>L249-L566 · https://print247.us/post/soap-box-packaging-types-and-custom-design-ideas</x:v>
      </x:c>
    </x:row>
    <x:row r="142" ht="38" customHeight="1">
      <x:c r="A142" s="16" t="n">
        <x:v>3</x:v>
      </x:c>
      <x:c r="B142" s="16" t="str">
        <x:v>Soap box packaging</x:v>
      </x:c>
      <x:c r="C142" s="16" t="str">
        <x:v>5-2</x:v>
      </x:c>
      <x:c r="D142" s="16" t="str">
        <x:v>Keyword Integration</x:v>
      </x:c>
      <x:c r="E142" s="16" t="str">
        <x:v>Headings are descriptive rather than keyword-stuffed.</x:v>
      </x:c>
      <x:c r="F142" s="16" t="str">
        <x:v>PASS</x:v>
      </x:c>
      <x:c r="G142" s="16" t="str">
        <x:v>Relevant semantic vocabulary covers soap cartons, sleeves, kraft, SBS, corrugated, rigid, labels and finishes.</x:v>
      </x:c>
      <x:c r="H142" s="16"/>
      <x:c r="I142" s="16" t="str">
        <x:v>L249-L566 · https://print247.us/post/soap-box-packaging-types-and-custom-design-ideas</x:v>
      </x:c>
    </x:row>
    <x:row r="143" ht="38" customHeight="1">
      <x:c r="A143" s="16" t="n">
        <x:v>3</x:v>
      </x:c>
      <x:c r="B143" s="16" t="str">
        <x:v>Soap box packaging</x:v>
      </x:c>
      <x:c r="C143" s="16" t="str">
        <x:v>5-3</x:v>
      </x:c>
      <x:c r="D143" s="16" t="str">
        <x:v>Keyword Integration</x:v>
      </x:c>
      <x:c r="E143" s="16" t="str">
        <x:v>There is no excessive exact-match keyword repetition.</x:v>
      </x:c>
      <x:c r="F143" s="16" t="str">
        <x:v>PASS</x:v>
      </x:c>
      <x:c r="G143" s="16" t="str">
        <x:v>Relevant semantic vocabulary covers soap cartons, sleeves, kraft, SBS, corrugated, rigid, labels and finishes.</x:v>
      </x:c>
      <x:c r="H143" s="16"/>
      <x:c r="I143" s="16" t="str">
        <x:v>L249-L566 · https://print247.us/post/soap-box-packaging-types-and-custom-design-ideas</x:v>
      </x:c>
    </x:row>
    <x:row r="144" ht="38" customHeight="1">
      <x:c r="A144" s="16" t="n">
        <x:v>3</x:v>
      </x:c>
      <x:c r="B144" s="16" t="str">
        <x:v>Soap box packaging</x:v>
      </x:c>
      <x:c r="C144" s="16" t="str">
        <x:v>5-4</x:v>
      </x:c>
      <x:c r="D144" s="16" t="str">
        <x:v>Keyword Integration</x:v>
      </x:c>
      <x:c r="E144" s="16" t="str">
        <x:v>The article consistently addresses one coherent primary intent.</x:v>
      </x:c>
      <x:c r="F144" s="16" t="str">
        <x:v>PASS</x:v>
      </x:c>
      <x:c r="G144" s="16" t="str">
        <x:v>Relevant semantic vocabulary covers soap cartons, sleeves, kraft, SBS, corrugated, rigid, labels and finishes.</x:v>
      </x:c>
      <x:c r="H144" s="16"/>
      <x:c r="I144" s="16" t="str">
        <x:v>L249-L566 · https://print247.us/post/soap-box-packaging-types-and-custom-design-ideas</x:v>
      </x:c>
    </x:row>
    <x:row r="145" ht="38" customHeight="1">
      <x:c r="A145" s="16" t="n">
        <x:v>3</x:v>
      </x:c>
      <x:c r="B145" s="16" t="str">
        <x:v>Soap box packaging</x:v>
      </x:c>
      <x:c r="C145" s="16" t="str">
        <x:v>6-0</x:v>
      </x:c>
      <x:c r="D145" s="16" t="str">
        <x:v>B2B Audience &amp; Commercial Alignment</x:v>
      </x:c>
      <x:c r="E145" s="16" t="str">
        <x:v>The intended business buyer is clearly identifiable.</x:v>
      </x:c>
      <x:c r="F145" s="16" t="str">
        <x:v>PASS</x:v>
      </x:c>
      <x:c r="G145" s="16" t="str">
        <x:v>Soap-brand examples, material choices and product-fit recommendations speak to B2B decision makers.</x:v>
      </x:c>
      <x:c r="H145" s="16"/>
      <x:c r="I145" s="16" t="str">
        <x:v>L235-L565 · https://print247.us/post/soap-box-packaging-types-and-custom-design-ideas</x:v>
      </x:c>
    </x:row>
    <x:row r="146" ht="38" customHeight="1">
      <x:c r="A146" s="16" t="n">
        <x:v>3</x:v>
      </x:c>
      <x:c r="B146" s="16" t="str">
        <x:v>Soap box packaging</x:v>
      </x:c>
      <x:c r="C146" s="16" t="str">
        <x:v>6-1</x:v>
      </x:c>
      <x:c r="D146" s="16" t="str">
        <x:v>B2B Audience &amp; Commercial Alignment</x:v>
      </x:c>
      <x:c r="E146" s="16" t="str">
        <x:v>The content addresses practical business or procurement needs.</x:v>
      </x:c>
      <x:c r="F146" s="16" t="str">
        <x:v>NEEDS IMPROVEMENT</x:v>
      </x:c>
      <x:c r="G146" s="16" t="str">
        <x:v>Good buyer guidance is already present, but the final step does not say which dimensions/material/quantity details a manufacturer needs to quote reliably.</x:v>
      </x:c>
      <x:c r="H146" s="16" t="str">
        <x:v>HB03-03</x:v>
      </x:c>
      <x:c r="I146" s="16" t="str">
        <x:v>L235-L565 · https://print247.us/post/soap-box-packaging-types-and-custom-design-ideas</x:v>
      </x:c>
    </x:row>
    <x:row r="147" ht="38" customHeight="1">
      <x:c r="A147" s="16" t="n">
        <x:v>3</x:v>
      </x:c>
      <x:c r="B147" s="16" t="str">
        <x:v>Soap box packaging</x:v>
      </x:c>
      <x:c r="C147" s="16" t="str">
        <x:v>6-2</x:v>
      </x:c>
      <x:c r="D147" s="16" t="str">
        <x:v>B2B Audience &amp; Commercial Alignment</x:v>
      </x:c>
      <x:c r="E147" s="16" t="str">
        <x:v>Relevant considerations such as MOQ, customization, materials, printing, or lead times are explained where appropriate.</x:v>
      </x:c>
      <x:c r="F147" s="16" t="str">
        <x:v>NEEDS IMPROVEMENT</x:v>
      </x:c>
      <x:c r="G147" s="16" t="str">
        <x:v>Good buyer guidance is already present, but the final step does not say which dimensions/material/quantity details a manufacturer needs to quote reliably.</x:v>
      </x:c>
      <x:c r="H147" s="16" t="str">
        <x:v>HB03-03</x:v>
      </x:c>
      <x:c r="I147" s="16" t="str">
        <x:v>L235-L565 · https://print247.us/post/soap-box-packaging-types-and-custom-design-ideas</x:v>
      </x:c>
    </x:row>
    <x:row r="148" ht="38" customHeight="1">
      <x:c r="A148" s="16" t="n">
        <x:v>3</x:v>
      </x:c>
      <x:c r="B148" s="16" t="str">
        <x:v>Soap box packaging</x:v>
      </x:c>
      <x:c r="C148" s="16" t="str">
        <x:v>6-3</x:v>
      </x:c>
      <x:c r="D148" s="16" t="str">
        <x:v>B2B Audience &amp; Commercial Alignment</x:v>
      </x:c>
      <x:c r="E148" s="16" t="str">
        <x:v>The content supports an informed product or packaging decision.</x:v>
      </x:c>
      <x:c r="F148" s="16" t="str">
        <x:v>PASS</x:v>
      </x:c>
      <x:c r="G148" s="16" t="str">
        <x:v>Soap-brand examples, material choices and product-fit recommendations speak to B2B decision makers.</x:v>
      </x:c>
      <x:c r="H148" s="16"/>
      <x:c r="I148" s="16" t="str">
        <x:v>L235-L565 · https://print247.us/post/soap-box-packaging-types-and-custom-design-ideas</x:v>
      </x:c>
    </x:row>
    <x:row r="149" ht="38" customHeight="1">
      <x:c r="A149" s="16" t="n">
        <x:v>3</x:v>
      </x:c>
      <x:c r="B149" s="16" t="str">
        <x:v>Soap box packaging</x:v>
      </x:c>
      <x:c r="C149" s="16" t="str">
        <x:v>6-4</x:v>
      </x:c>
      <x:c r="D149" s="16" t="str">
        <x:v>B2B Audience &amp; Commercial Alignment</x:v>
      </x:c>
      <x:c r="E149" s="16" t="str">
        <x:v>Product or category references are contextually relevant.</x:v>
      </x:c>
      <x:c r="F149" s="16" t="str">
        <x:v>PASS</x:v>
      </x:c>
      <x:c r="G149" s="16" t="str">
        <x:v>Soap-brand examples, material choices and product-fit recommendations speak to B2B decision makers.</x:v>
      </x:c>
      <x:c r="H149" s="16"/>
      <x:c r="I149" s="16" t="str">
        <x:v>L235-L565 · https://print247.us/post/soap-box-packaging-types-and-custom-design-ideas</x:v>
      </x:c>
    </x:row>
    <x:row r="150" ht="38" customHeight="1">
      <x:c r="A150" s="16" t="n">
        <x:v>3</x:v>
      </x:c>
      <x:c r="B150" s="16" t="str">
        <x:v>Soap box packaging</x:v>
      </x:c>
      <x:c r="C150" s="16" t="str">
        <x:v>6-5</x:v>
      </x:c>
      <x:c r="D150" s="16" t="str">
        <x:v>B2B Audience &amp; Commercial Alignment</x:v>
      </x:c>
      <x:c r="E150" s="16" t="str">
        <x:v>Commercial calls to action are helpful and appropriate to the article’s intent.</x:v>
      </x:c>
      <x:c r="F150" s="16" t="str">
        <x:v>PASS</x:v>
      </x:c>
      <x:c r="G150" s="16" t="str">
        <x:v>Soap-brand examples, material choices and product-fit recommendations speak to B2B decision makers.</x:v>
      </x:c>
      <x:c r="H150" s="16"/>
      <x:c r="I150" s="16" t="str">
        <x:v>L235-L565 · https://print247.us/post/soap-box-packaging-types-and-custom-design-ideas</x:v>
      </x:c>
    </x:row>
    <x:row r="151" ht="38" customHeight="1">
      <x:c r="A151" s="16" t="n">
        <x:v>3</x:v>
      </x:c>
      <x:c r="B151" s="16" t="str">
        <x:v>Soap box packaging</x:v>
      </x:c>
      <x:c r="C151" s="16" t="str">
        <x:v>7-0</x:v>
      </x:c>
      <x:c r="D151" s="16" t="str">
        <x:v>Internal Linking</x:v>
      </x:c>
      <x:c r="E151" s="16" t="str">
        <x:v>Relevant internal links are included where useful.</x:v>
      </x:c>
      <x:c r="F151" s="16" t="str">
        <x:v>PASS</x:v>
      </x:c>
      <x:c r="G151" s="16" t="str">
        <x:v>Contextual category links support soap-box structures and substrate terms; HTTP destination behavior not independently tested.</x:v>
      </x:c>
      <x:c r="H151" s="16"/>
      <x:c r="I151" s="16" t="str">
        <x:v>L249-L566 · https://print247.us/post/soap-box-packaging-types-and-custom-design-ideas</x:v>
      </x:c>
    </x:row>
    <x:row r="152" ht="38" customHeight="1">
      <x:c r="A152" s="16" t="n">
        <x:v>3</x:v>
      </x:c>
      <x:c r="B152" s="16" t="str">
        <x:v>Soap box packaging</x:v>
      </x:c>
      <x:c r="C152" s="16" t="str">
        <x:v>7-1</x:v>
      </x:c>
      <x:c r="D152" s="16" t="str">
        <x:v>Internal Linking</x:v>
      </x:c>
      <x:c r="E152" s="16" t="str">
        <x:v>Anchor text clearly describes the destination.</x:v>
      </x:c>
      <x:c r="F152" s="16" t="str">
        <x:v>PASS</x:v>
      </x:c>
      <x:c r="G152" s="16" t="str">
        <x:v>Contextual category links support soap-box structures and substrate terms; HTTP destination behavior not independently tested.</x:v>
      </x:c>
      <x:c r="H152" s="16"/>
      <x:c r="I152" s="16" t="str">
        <x:v>L249-L566 · https://print247.us/post/soap-box-packaging-types-and-custom-design-ideas</x:v>
      </x:c>
    </x:row>
    <x:row r="153" ht="38" customHeight="1">
      <x:c r="A153" s="16" t="n">
        <x:v>3</x:v>
      </x:c>
      <x:c r="B153" s="16" t="str">
        <x:v>Soap box packaging</x:v>
      </x:c>
      <x:c r="C153" s="16" t="str">
        <x:v>7-2</x:v>
      </x:c>
      <x:c r="D153" s="16" t="str">
        <x:v>Internal Linking</x:v>
      </x:c>
      <x:c r="E153" s="16" t="str">
        <x:v>Linked product, category, or informational pages are contextually relevant.</x:v>
      </x:c>
      <x:c r="F153" s="16" t="str">
        <x:v>PASS</x:v>
      </x:c>
      <x:c r="G153" s="16" t="str">
        <x:v>Contextual category links support soap-box structures and substrate terms; HTTP destination behavior not independently tested.</x:v>
      </x:c>
      <x:c r="H153" s="16"/>
      <x:c r="I153" s="16" t="str">
        <x:v>L249-L566 · https://print247.us/post/soap-box-packaging-types-and-custom-design-ideas</x:v>
      </x:c>
    </x:row>
    <x:row r="154" ht="38" customHeight="1">
      <x:c r="A154" s="16" t="n">
        <x:v>3</x:v>
      </x:c>
      <x:c r="B154" s="16" t="str">
        <x:v>Soap box packaging</x:v>
      </x:c>
      <x:c r="C154" s="16" t="str">
        <x:v>7-3</x:v>
      </x:c>
      <x:c r="D154" s="16" t="str">
        <x:v>Internal Linking</x:v>
      </x:c>
      <x:c r="E154" s="16" t="str">
        <x:v>Links lead to appropriate working destinations.</x:v>
      </x:c>
      <x:c r="F154" s="16" t="str">
        <x:v>NOT VERIFIED</x:v>
      </x:c>
      <x:c r="G154" s="16" t="str">
        <x:v>Link HTTP resolution, redirects, indexability and exhaustive alternate destinations were not independently tested.</x:v>
      </x:c>
      <x:c r="H154" s="16"/>
      <x:c r="I154" s="16" t="str">
        <x:v>L249-L566 · https://print247.us/post/soap-box-packaging-types-and-custom-design-ideas</x:v>
      </x:c>
    </x:row>
    <x:row r="155" ht="38" customHeight="1">
      <x:c r="A155" s="16" t="n">
        <x:v>3</x:v>
      </x:c>
      <x:c r="B155" s="16" t="str">
        <x:v>Soap box packaging</x:v>
      </x:c>
      <x:c r="C155" s="16" t="str">
        <x:v>7-4</x:v>
      </x:c>
      <x:c r="D155" s="16" t="str">
        <x:v>Internal Linking</x:v>
      </x:c>
      <x:c r="E155" s="16" t="str">
        <x:v>Important natural internal linking opportunities are not overlooked.</x:v>
      </x:c>
      <x:c r="F155" s="16" t="str">
        <x:v>NOT VERIFIED</x:v>
      </x:c>
      <x:c r="G155" s="16" t="str">
        <x:v>Link HTTP resolution, redirects, indexability and exhaustive alternate destinations were not independently tested.</x:v>
      </x:c>
      <x:c r="H155" s="16"/>
      <x:c r="I155" s="16" t="str">
        <x:v>L249-L566 · https://print247.us/post/soap-box-packaging-types-and-custom-design-ideas</x:v>
      </x:c>
    </x:row>
    <x:row r="156" ht="38" customHeight="1">
      <x:c r="A156" s="16" t="n">
        <x:v>3</x:v>
      </x:c>
      <x:c r="B156" s="16" t="str">
        <x:v>Soap box packaging</x:v>
      </x:c>
      <x:c r="C156" s="16" t="str">
        <x:v>8-0</x:v>
      </x:c>
      <x:c r="D156" s="16" t="str">
        <x:v>Grammar &amp; Editorial Quality</x:v>
      </x:c>
      <x:c r="E156" s="16" t="str">
        <x:v>Grammar, spelling, and punctuation are correct.</x:v>
      </x:c>
      <x:c r="F156" s="16" t="str">
        <x:v>ACCEPTABLE</x:v>
      </x:c>
      <x:c r="G156" s="16" t="str">
        <x:v>Serviceable American-English informational prose; occasional unnatural expressions do not materially obscure meaning. This is an acceptable editorial choice or non-material limitation, with no standalone score penalty.</x:v>
      </x:c>
      <x:c r="H156" s="16"/>
      <x:c r="I156" s="16" t="str">
        <x:v>L566-L590 · https://print247.us/post/soap-box-packaging-types-and-custom-design-ideas</x:v>
      </x:c>
    </x:row>
    <x:row r="157" ht="38" customHeight="1">
      <x:c r="A157" s="16" t="n">
        <x:v>3</x:v>
      </x:c>
      <x:c r="B157" s="16" t="str">
        <x:v>Soap box packaging</x:v>
      </x:c>
      <x:c r="C157" s="16" t="str">
        <x:v>8-1</x:v>
      </x:c>
      <x:c r="D157" s="16" t="str">
        <x:v>Grammar &amp; Editorial Quality</x:v>
      </x:c>
      <x:c r="E157" s="16" t="str">
        <x:v>American English conventions are applied consistently.</x:v>
      </x:c>
      <x:c r="F157" s="16" t="str">
        <x:v>PASS</x:v>
      </x:c>
      <x:c r="G157" s="16" t="str">
        <x:v>Serviceable American-English informational prose; occasional unnatural expressions do not materially obscure meaning.</x:v>
      </x:c>
      <x:c r="H157" s="16"/>
      <x:c r="I157" s="16" t="str">
        <x:v>L566-L590 · https://print247.us/post/soap-box-packaging-types-and-custom-design-ideas</x:v>
      </x:c>
    </x:row>
    <x:row r="158" ht="38" customHeight="1">
      <x:c r="A158" s="16" t="n">
        <x:v>3</x:v>
      </x:c>
      <x:c r="B158" s="16" t="str">
        <x:v>Soap box packaging</x:v>
      </x:c>
      <x:c r="C158" s="16" t="str">
        <x:v>8-2</x:v>
      </x:c>
      <x:c r="D158" s="16" t="str">
        <x:v>Grammar &amp; Editorial Quality</x:v>
      </x:c>
      <x:c r="E158" s="16" t="str">
        <x:v>Sentences sound natural and professional.</x:v>
      </x:c>
      <x:c r="F158" s="16" t="str">
        <x:v>ACCEPTABLE</x:v>
      </x:c>
      <x:c r="G158" s="16" t="str">
        <x:v>Serviceable American-English informational prose; occasional unnatural expressions do not materially obscure meaning. This is an acceptable editorial choice or non-material limitation, with no standalone score penalty.</x:v>
      </x:c>
      <x:c r="H158" s="16"/>
      <x:c r="I158" s="16" t="str">
        <x:v>L566-L590 · https://print247.us/post/soap-box-packaging-types-and-custom-design-ideas</x:v>
      </x:c>
    </x:row>
    <x:row r="159" ht="38" customHeight="1">
      <x:c r="A159" s="16" t="n">
        <x:v>3</x:v>
      </x:c>
      <x:c r="B159" s="16" t="str">
        <x:v>Soap box packaging</x:v>
      </x:c>
      <x:c r="C159" s="16" t="str">
        <x:v>8-3</x:v>
      </x:c>
      <x:c r="D159" s="16" t="str">
        <x:v>Grammar &amp; Editorial Quality</x:v>
      </x:c>
      <x:c r="E159" s="16" t="str">
        <x:v>Terminology and brand voice remain consistent.</x:v>
      </x:c>
      <x:c r="F159" s="16" t="str">
        <x:v>ACCEPTABLE</x:v>
      </x:c>
      <x:c r="G159" s="16" t="str">
        <x:v>Serviceable American-English informational prose; occasional unnatural expressions do not materially obscure meaning. This is an acceptable editorial choice or non-material limitation, with no standalone score penalty.</x:v>
      </x:c>
      <x:c r="H159" s="16"/>
      <x:c r="I159" s="16" t="str">
        <x:v>L566-L590 · https://print247.us/post/soap-box-packaging-types-and-custom-design-ideas</x:v>
      </x:c>
    </x:row>
    <x:row r="160" ht="38" customHeight="1">
      <x:c r="A160" s="16" t="n">
        <x:v>3</x:v>
      </x:c>
      <x:c r="B160" s="16" t="str">
        <x:v>Soap box packaging</x:v>
      </x:c>
      <x:c r="C160" s="16" t="str">
        <x:v>8-4</x:v>
      </x:c>
      <x:c r="D160" s="16" t="str">
        <x:v>Grammar &amp; Editorial Quality</x:v>
      </x:c>
      <x:c r="E160" s="16" t="str">
        <x:v>Filler, awkward phrasing, and unnecessary repetition are minimized.</x:v>
      </x:c>
      <x:c r="F160" s="16" t="str">
        <x:v>ACCEPTABLE</x:v>
      </x:c>
      <x:c r="G160" s="16" t="str">
        <x:v>Serviceable American-English informational prose; occasional unnatural expressions do not materially obscure meaning. This is an acceptable editorial choice or non-material limitation, with no standalone score penalty.</x:v>
      </x:c>
      <x:c r="H160" s="16"/>
      <x:c r="I160" s="16" t="str">
        <x:v>L566-L590 · https://print247.us/post/soap-box-packaging-types-and-custom-design-ideas</x:v>
      </x:c>
    </x:row>
    <x:row r="161" ht="38" customHeight="1">
      <x:c r="A161" s="16" t="n">
        <x:v>3</x:v>
      </x:c>
      <x:c r="B161" s="16" t="str">
        <x:v>Soap box packaging</x:v>
      </x:c>
      <x:c r="C161" s="16" t="str">
        <x:v>8-5</x:v>
      </x:c>
      <x:c r="D161" s="16" t="str">
        <x:v>Grammar &amp; Editorial Quality</x:v>
      </x:c>
      <x:c r="E161" s="16" t="str">
        <x:v>Claims avoid exaggerated or unsupported promotional language.</x:v>
      </x:c>
      <x:c r="F161" s="16" t="str">
        <x:v>ACCEPTABLE</x:v>
      </x:c>
      <x:c r="G161" s="16" t="str">
        <x:v>Serviceable American-English informational prose; occasional unnatural expressions do not materially obscure meaning. This is an acceptable editorial choice or non-material limitation, with no standalone score penalty.</x:v>
      </x:c>
      <x:c r="H161" s="16"/>
      <x:c r="I161" s="16" t="str">
        <x:v>L566-L590 · https://print247.us/post/soap-box-packaging-types-and-custom-design-ideas</x:v>
      </x:c>
    </x:row>
    <x:row r="162" ht="38" customHeight="1">
      <x:c r="A162" s="16" t="n">
        <x:v>4</x:v>
      </x:c>
      <x:c r="B162" s="16" t="str">
        <x:v>Small-business Christmas</x:v>
      </x:c>
      <x:c r="C162" s="16" t="str">
        <x:v>0-0</x:v>
      </x:c>
      <x:c r="D162" s="16" t="str">
        <x:v>Search Intent &amp; Topic Targeting</x:v>
      </x:c>
      <x:c r="E162" s="16" t="str">
        <x:v>The article has a clear primary topic and target query.</x:v>
      </x:c>
      <x:c r="F162" s="16" t="str">
        <x:v>PASS</x:v>
      </x:c>
      <x:c r="G162" s="16" t="str">
        <x:v>The article specifically discusses holiday packaging for small businesses, including cost, order size, lead time and flexible formats.</x:v>
      </x:c>
      <x:c r="H162" s="16"/>
      <x:c r="I162" s="16" t="str">
        <x:v>L229-L241 · https://print247.us/post/christmas-gift-packaging-for-small-business-what-works</x:v>
      </x:c>
    </x:row>
    <x:row r="163" ht="38" customHeight="1">
      <x:c r="A163" s="16" t="n">
        <x:v>4</x:v>
      </x:c>
      <x:c r="B163" s="16" t="str">
        <x:v>Small-business Christmas</x:v>
      </x:c>
      <x:c r="C163" s="16" t="str">
        <x:v>0-1</x:v>
      </x:c>
      <x:c r="D163" s="16" t="str">
        <x:v>Search Intent &amp; Topic Targeting</x:v>
      </x:c>
      <x:c r="E163" s="16" t="str">
        <x:v>The title accurately reflects what the article delivers.</x:v>
      </x:c>
      <x:c r="F163" s="16" t="str">
        <x:v>PASS</x:v>
      </x:c>
      <x:c r="G163" s="16" t="str">
        <x:v>The article specifically discusses holiday packaging for small businesses, including cost, order size, lead time and flexible formats.</x:v>
      </x:c>
      <x:c r="H163" s="16"/>
      <x:c r="I163" s="16" t="str">
        <x:v>L229-L241 · https://print247.us/post/christmas-gift-packaging-for-small-business-what-works</x:v>
      </x:c>
    </x:row>
    <x:row r="164" ht="38" customHeight="1">
      <x:c r="A164" s="16" t="n">
        <x:v>4</x:v>
      </x:c>
      <x:c r="B164" s="16" t="str">
        <x:v>Small-business Christmas</x:v>
      </x:c>
      <x:c r="C164" s="16" t="str">
        <x:v>0-2</x:v>
      </x:c>
      <x:c r="D164" s="16" t="str">
        <x:v>Search Intent &amp; Topic Targeting</x:v>
      </x:c>
      <x:c r="E164" s="16" t="str">
        <x:v>The introduction answers or directly addresses the main search intent.</x:v>
      </x:c>
      <x:c r="F164" s="16" t="str">
        <x:v>ACCEPTABLE</x:v>
      </x:c>
      <x:c r="G164" s="16" t="str">
        <x:v>The article specifically discusses holiday packaging for small businesses, including cost, order size, lead time and flexible formats. This is an acceptable editorial choice or non-material limitation, with no standalone score penalty.</x:v>
      </x:c>
      <x:c r="H164" s="16"/>
      <x:c r="I164" s="16" t="str">
        <x:v>L229-L241 · https://print247.us/post/christmas-gift-packaging-for-small-business-what-works</x:v>
      </x:c>
    </x:row>
    <x:row r="165" ht="38" customHeight="1">
      <x:c r="A165" s="16" t="n">
        <x:v>4</x:v>
      </x:c>
      <x:c r="B165" s="16" t="str">
        <x:v>Small-business Christmas</x:v>
      </x:c>
      <x:c r="C165" s="16" t="str">
        <x:v>0-3</x:v>
      </x:c>
      <x:c r="D165" s="16" t="str">
        <x:v>Search Intent &amp; Topic Targeting</x:v>
      </x:c>
      <x:c r="E165" s="16" t="str">
        <x:v>The content solves the reader’s primary problem.</x:v>
      </x:c>
      <x:c r="F165" s="16" t="str">
        <x:v>PASS</x:v>
      </x:c>
      <x:c r="G165" s="16" t="str">
        <x:v>The article specifically discusses holiday packaging for small businesses, including cost, order size, lead time and flexible formats.</x:v>
      </x:c>
      <x:c r="H165" s="16"/>
      <x:c r="I165" s="16" t="str">
        <x:v>L229-L241 · https://print247.us/post/christmas-gift-packaging-for-small-business-what-works</x:v>
      </x:c>
    </x:row>
    <x:row r="166" ht="38" customHeight="1">
      <x:c r="A166" s="16" t="n">
        <x:v>4</x:v>
      </x:c>
      <x:c r="B166" s="16" t="str">
        <x:v>Small-business Christmas</x:v>
      </x:c>
      <x:c r="C166" s="16" t="str">
        <x:v>0-4</x:v>
      </x:c>
      <x:c r="D166" s="16" t="str">
        <x:v>Search Intent &amp; Topic Targeting</x:v>
      </x:c>
      <x:c r="E166" s="16" t="str">
        <x:v>Sections stay focused on the main topic without unnecessary tangents.</x:v>
      </x:c>
      <x:c r="F166" s="16" t="str">
        <x:v>ACCEPTABLE</x:v>
      </x:c>
      <x:c r="G166" s="16" t="str">
        <x:v>The article specifically discusses holiday packaging for small businesses, including cost, order size, lead time and flexible formats. This is an acceptable editorial choice or non-material limitation, with no standalone score penalty.</x:v>
      </x:c>
      <x:c r="H166" s="16"/>
      <x:c r="I166" s="16" t="str">
        <x:v>L229-L241 · https://print247.us/post/christmas-gift-packaging-for-small-business-what-works</x:v>
      </x:c>
    </x:row>
    <x:row r="167" ht="38" customHeight="1">
      <x:c r="A167" s="16" t="n">
        <x:v>4</x:v>
      </x:c>
      <x:c r="B167" s="16" t="str">
        <x:v>Small-business Christmas</x:v>
      </x:c>
      <x:c r="C167" s="16" t="str">
        <x:v>0-5</x:v>
      </x:c>
      <x:c r="D167" s="16" t="str">
        <x:v>Search Intent &amp; Topic Targeting</x:v>
      </x:c>
      <x:c r="E167" s="16" t="str">
        <x:v>The article matches the expected informational or commercial intent.</x:v>
      </x:c>
      <x:c r="F167" s="16" t="str">
        <x:v>PASS</x:v>
      </x:c>
      <x:c r="G167" s="16" t="str">
        <x:v>The article specifically discusses holiday packaging for small businesses, including cost, order size, lead time and flexible formats.</x:v>
      </x:c>
      <x:c r="H167" s="16"/>
      <x:c r="I167" s="16" t="str">
        <x:v>L229-L241 · https://print247.us/post/christmas-gift-packaging-for-small-business-what-works</x:v>
      </x:c>
    </x:row>
    <x:row r="168" ht="38" customHeight="1">
      <x:c r="A168" s="16" t="n">
        <x:v>4</x:v>
      </x:c>
      <x:c r="B168" s="16" t="str">
        <x:v>Small-business Christmas</x:v>
      </x:c>
      <x:c r="C168" s="16" t="str">
        <x:v>1-0</x:v>
      </x:c>
      <x:c r="D168" s="16" t="str">
        <x:v>Factual Accuracy &amp; Research</x:v>
      </x:c>
      <x:c r="E168" s="16" t="str">
        <x:v>Product, material, and packaging terminology is accurate.</x:v>
      </x:c>
      <x:c r="F168" s="16" t="str">
        <x:v>PASS</x:v>
      </x:c>
      <x:c r="G168" s="16" t="str">
        <x:v>The worked $30 example correctly calculates 2–5%; the problem is presenting that range as a standard without evidence.</x:v>
      </x:c>
      <x:c r="H168" s="16"/>
      <x:c r="I168" s="16" t="str">
        <x:v>L241-L363 · https://print247.us/post/christmas-gift-packaging-for-small-business-what-works</x:v>
      </x:c>
    </x:row>
    <x:row r="169" ht="38" customHeight="1">
      <x:c r="A169" s="16" t="n">
        <x:v>4</x:v>
      </x:c>
      <x:c r="B169" s="16" t="str">
        <x:v>Small-business Christmas</x:v>
      </x:c>
      <x:c r="C169" s="16" t="str">
        <x:v>1-1</x:v>
      </x:c>
      <x:c r="D169" s="16" t="str">
        <x:v>Factual Accuracy &amp; Research</x:v>
      </x:c>
      <x:c r="E169" s="16" t="str">
        <x:v>Specifications, dimensions, and technical statements are correct.</x:v>
      </x:c>
      <x:c r="F169" s="16" t="str">
        <x:v>PASS</x:v>
      </x:c>
      <x:c r="G169" s="16" t="str">
        <x:v>The worked $30 example correctly calculates 2–5%; the problem is presenting that range as a standard without evidence.</x:v>
      </x:c>
      <x:c r="H169" s="16"/>
      <x:c r="I169" s="16" t="str">
        <x:v>L241-L363 · https://print247.us/post/christmas-gift-packaging-for-small-business-what-works</x:v>
      </x:c>
    </x:row>
    <x:row r="170" ht="38" customHeight="1">
      <x:c r="A170" s="16" t="n">
        <x:v>4</x:v>
      </x:c>
      <x:c r="B170" s="16" t="str">
        <x:v>Small-business Christmas</x:v>
      </x:c>
      <x:c r="C170" s="16" t="str">
        <x:v>1-2</x:v>
      </x:c>
      <x:c r="D170" s="16" t="str">
        <x:v>Factual Accuracy &amp; Research</x:v>
      </x:c>
      <x:c r="E170" s="16" t="str">
        <x:v>Statistics and significant factual claims have credible support.</x:v>
      </x:c>
      <x:c r="F170" s="16" t="str">
        <x:v>NEEDS IMPROVEMENT</x:v>
      </x:c>
      <x:c r="G170" s="16" t="str">
        <x:v>The 2–5% range is plausible as a discretionary additional festive-packaging allowance, but should not be called a general small-business spending rule. Rewrite it as an illustrative option, not an industry benchmark. Other retained buying considerations are evaluated separately.</x:v>
      </x:c>
      <x:c r="H170" s="16" t="str">
        <x:v>HB04-01, HB04-02</x:v>
      </x:c>
      <x:c r="I170" s="16" t="str">
        <x:v>L241-L363 · https://print247.us/post/christmas-gift-packaging-for-small-business-what-works</x:v>
      </x:c>
    </x:row>
    <x:row r="171" ht="38" customHeight="1">
      <x:c r="A171" s="16" t="n">
        <x:v>4</x:v>
      </x:c>
      <x:c r="B171" s="16" t="str">
        <x:v>Small-business Christmas</x:v>
      </x:c>
      <x:c r="C171" s="16" t="str">
        <x:v>1-3</x:v>
      </x:c>
      <x:c r="D171" s="16" t="str">
        <x:v>Factual Accuracy &amp; Research</x:v>
      </x:c>
      <x:c r="E171" s="16" t="str">
        <x:v>The content contains no misleading or contradictory claims.</x:v>
      </x:c>
      <x:c r="F171" s="16" t="str">
        <x:v>NEEDS IMPROVEMENT</x:v>
      </x:c>
      <x:c r="G171" s="16" t="str">
        <x:v>The 2–5% range is plausible as a discretionary additional festive-packaging allowance, but should not be called a general small-business spending rule. Rewrite it as an illustrative option, not an industry benchmark.</x:v>
      </x:c>
      <x:c r="H171" s="16" t="str">
        <x:v>HB04-01</x:v>
      </x:c>
      <x:c r="I171" s="16" t="str">
        <x:v>L241-L363 · https://print247.us/post/christmas-gift-packaging-for-small-business-what-works</x:v>
      </x:c>
    </x:row>
    <x:row r="172" ht="38" customHeight="1">
      <x:c r="A172" s="16" t="n">
        <x:v>4</x:v>
      </x:c>
      <x:c r="B172" s="16" t="str">
        <x:v>Small-business Christmas</x:v>
      </x:c>
      <x:c r="C172" s="16" t="str">
        <x:v>1-4</x:v>
      </x:c>
      <x:c r="D172" s="16" t="str">
        <x:v>Factual Accuracy &amp; Research</x:v>
      </x:c>
      <x:c r="E172" s="16" t="str">
        <x:v>Explanations demonstrate genuine subject-matter understanding.</x:v>
      </x:c>
      <x:c r="F172" s="16" t="str">
        <x:v>PASS</x:v>
      </x:c>
      <x:c r="G172" s="16" t="str">
        <x:v>The worked $30 example correctly calculates 2–5%; the problem is presenting that range as a standard without evidence.</x:v>
      </x:c>
      <x:c r="H172" s="16"/>
      <x:c r="I172" s="16" t="str">
        <x:v>L241-L363 · https://print247.us/post/christmas-gift-packaging-for-small-business-what-works</x:v>
      </x:c>
    </x:row>
    <x:row r="173" ht="38" customHeight="1">
      <x:c r="A173" s="16" t="n">
        <x:v>4</x:v>
      </x:c>
      <x:c r="B173" s="16" t="str">
        <x:v>Small-business Christmas</x:v>
      </x:c>
      <x:c r="C173" s="16" t="str">
        <x:v>1-5</x:v>
      </x:c>
      <x:c r="D173" s="16" t="str">
        <x:v>Factual Accuracy &amp; Research</x:v>
      </x:c>
      <x:c r="E173" s="16" t="str">
        <x:v>The information is relevant and accurate for US B2B buyers.</x:v>
      </x:c>
      <x:c r="F173" s="16" t="str">
        <x:v>PASS</x:v>
      </x:c>
      <x:c r="G173" s="16" t="str">
        <x:v>The worked $30 example correctly calculates 2–5%; the problem is presenting that range as a standard without evidence.</x:v>
      </x:c>
      <x:c r="H173" s="16"/>
      <x:c r="I173" s="16" t="str">
        <x:v>L241-L363 · https://print247.us/post/christmas-gift-packaging-for-small-business-what-works</x:v>
      </x:c>
    </x:row>
    <x:row r="174" ht="38" customHeight="1">
      <x:c r="A174" s="16" t="n">
        <x:v>4</x:v>
      </x:c>
      <x:c r="B174" s="16" t="str">
        <x:v>Small-business Christmas</x:v>
      </x:c>
      <x:c r="C174" s="16" t="str">
        <x:v>2-0</x:v>
      </x:c>
      <x:c r="D174" s="16" t="str">
        <x:v>Semantic SEO &amp; Topical Coverage</x:v>
      </x:c>
      <x:c r="E174" s="16" t="str">
        <x:v>Important entities, attributes, and subtopics are covered.</x:v>
      </x:c>
      <x:c r="F174" s="16" t="str">
        <x:v>PASS</x:v>
      </x:c>
      <x:c r="G174" s="16" t="str">
        <x:v>Packaging formats, costs, MOQ and timing, and customization ideas are covered without major topical gaps.</x:v>
      </x:c>
      <x:c r="H174" s="16"/>
      <x:c r="I174" s="16" t="str">
        <x:v>L241-L363 · https://print247.us/post/christmas-gift-packaging-for-small-business-what-works</x:v>
      </x:c>
    </x:row>
    <x:row r="175" ht="38" customHeight="1">
      <x:c r="A175" s="16" t="n">
        <x:v>4</x:v>
      </x:c>
      <x:c r="B175" s="16" t="str">
        <x:v>Small-business Christmas</x:v>
      </x:c>
      <x:c r="C175" s="16" t="str">
        <x:v>2-1</x:v>
      </x:c>
      <x:c r="D175" s="16" t="str">
        <x:v>Semantic SEO &amp; Topical Coverage</x:v>
      </x:c>
      <x:c r="E175" s="16" t="str">
        <x:v>The article explains meaningful relationships between concepts.</x:v>
      </x:c>
      <x:c r="F175" s="16" t="str">
        <x:v>PASS</x:v>
      </x:c>
      <x:c r="G175" s="16" t="str">
        <x:v>Packaging formats, costs, MOQ and timing, and customization ideas are covered without major topical gaps.</x:v>
      </x:c>
      <x:c r="H175" s="16"/>
      <x:c r="I175" s="16" t="str">
        <x:v>L241-L363 · https://print247.us/post/christmas-gift-packaging-for-small-business-what-works</x:v>
      </x:c>
    </x:row>
    <x:row r="176" ht="38" customHeight="1">
      <x:c r="A176" s="16" t="n">
        <x:v>4</x:v>
      </x:c>
      <x:c r="B176" s="16" t="str">
        <x:v>Small-business Christmas</x:v>
      </x:c>
      <x:c r="C176" s="16" t="str">
        <x:v>2-2</x:v>
      </x:c>
      <x:c r="D176" s="16" t="str">
        <x:v>Semantic SEO &amp; Topical Coverage</x:v>
      </x:c>
      <x:c r="E176" s="16" t="str">
        <x:v>H2 and H3 headings follow a logical topical hierarchy.</x:v>
      </x:c>
      <x:c r="F176" s="16" t="str">
        <x:v>PASS</x:v>
      </x:c>
      <x:c r="G176" s="16" t="str">
        <x:v>Packaging formats, costs, MOQ and timing, and customization ideas are covered without major topical gaps.</x:v>
      </x:c>
      <x:c r="H176" s="16"/>
      <x:c r="I176" s="16" t="str">
        <x:v>L241-L363 · https://print247.us/post/christmas-gift-packaging-for-small-business-what-works</x:v>
      </x:c>
    </x:row>
    <x:row r="177" ht="38" customHeight="1">
      <x:c r="A177" s="16" t="n">
        <x:v>4</x:v>
      </x:c>
      <x:c r="B177" s="16" t="str">
        <x:v>Small-business Christmas</x:v>
      </x:c>
      <x:c r="C177" s="16" t="str">
        <x:v>2-3</x:v>
      </x:c>
      <x:c r="D177" s="16" t="str">
        <x:v>Semantic SEO &amp; Topical Coverage</x:v>
      </x:c>
      <x:c r="E177" s="16" t="str">
        <x:v>Essential questions and decision factors are answered.</x:v>
      </x:c>
      <x:c r="F177" s="16" t="str">
        <x:v>PASS</x:v>
      </x:c>
      <x:c r="G177" s="16" t="str">
        <x:v>Packaging formats, costs, MOQ and timing, and customization ideas are covered without major topical gaps.</x:v>
      </x:c>
      <x:c r="H177" s="16"/>
      <x:c r="I177" s="16" t="str">
        <x:v>L241-L363 · https://print247.us/post/christmas-gift-packaging-for-small-business-what-works</x:v>
      </x:c>
    </x:row>
    <x:row r="178" ht="38" customHeight="1">
      <x:c r="A178" s="16" t="n">
        <x:v>4</x:v>
      </x:c>
      <x:c r="B178" s="16" t="str">
        <x:v>Small-business Christmas</x:v>
      </x:c>
      <x:c r="C178" s="16" t="str">
        <x:v>2-4</x:v>
      </x:c>
      <x:c r="D178" s="16" t="str">
        <x:v>Semantic SEO &amp; Topical Coverage</x:v>
      </x:c>
      <x:c r="E178" s="16" t="str">
        <x:v>There are no major topical gaps that prevent intent satisfaction.</x:v>
      </x:c>
      <x:c r="F178" s="16" t="str">
        <x:v>PASS</x:v>
      </x:c>
      <x:c r="G178" s="16" t="str">
        <x:v>Packaging formats, costs, MOQ and timing, and customization ideas are covered without major topical gaps.</x:v>
      </x:c>
      <x:c r="H178" s="16"/>
      <x:c r="I178" s="16" t="str">
        <x:v>L241-L363 · https://print247.us/post/christmas-gift-packaging-for-small-business-what-works</x:v>
      </x:c>
    </x:row>
    <x:row r="179" ht="38" customHeight="1">
      <x:c r="A179" s="16" t="n">
        <x:v>4</x:v>
      </x:c>
      <x:c r="B179" s="16" t="str">
        <x:v>Small-business Christmas</x:v>
      </x:c>
      <x:c r="C179" s="16" t="str">
        <x:v>2-5</x:v>
      </x:c>
      <x:c r="D179" s="16" t="str">
        <x:v>Semantic SEO &amp; Topical Coverage</x:v>
      </x:c>
      <x:c r="E179" s="16" t="str">
        <x:v>Sections add distinct value instead of repeating the same information.</x:v>
      </x:c>
      <x:c r="F179" s="16" t="str">
        <x:v>ACCEPTABLE</x:v>
      </x:c>
      <x:c r="G179" s="16" t="str">
        <x:v>Packaging formats, costs, MOQ and timing, and customization ideas are covered without major topical gaps. This is an acceptable editorial choice or non-material limitation, with no standalone score penalty.</x:v>
      </x:c>
      <x:c r="H179" s="16"/>
      <x:c r="I179" s="16" t="str">
        <x:v>L241-L363 · https://print247.us/post/christmas-gift-packaging-for-small-business-what-works</x:v>
      </x:c>
    </x:row>
    <x:row r="180" ht="38" customHeight="1">
      <x:c r="A180" s="16" t="n">
        <x:v>4</x:v>
      </x:c>
      <x:c r="B180" s="16" t="str">
        <x:v>Small-business Christmas</x:v>
      </x:c>
      <x:c r="C180" s="16" t="str">
        <x:v>3-0</x:v>
      </x:c>
      <x:c r="D180" s="16" t="str">
        <x:v>Originality &amp; Information Gain</x:v>
      </x:c>
      <x:c r="E180" s="16" t="str">
        <x:v>The article provides more than generic definitions or descriptions.</x:v>
      </x:c>
      <x:c r="F180" s="16" t="str">
        <x:v>PASS</x:v>
      </x:c>
      <x:c r="G180" s="16" t="str">
        <x:v>Concrete $30 example, adaptable seasonal packaging and planning suggestions are useful; remove unsourced range as a rule.</x:v>
      </x:c>
      <x:c r="H180" s="16"/>
      <x:c r="I180" s="16" t="str">
        <x:v>L241-L363 · https://print247.us/post/christmas-gift-packaging-for-small-business-what-works</x:v>
      </x:c>
    </x:row>
    <x:row r="181" ht="38" customHeight="1">
      <x:c r="A181" s="16" t="n">
        <x:v>4</x:v>
      </x:c>
      <x:c r="B181" s="16" t="str">
        <x:v>Small-business Christmas</x:v>
      </x:c>
      <x:c r="C181" s="16" t="str">
        <x:v>3-1</x:v>
      </x:c>
      <x:c r="D181" s="16" t="str">
        <x:v>Originality &amp; Information Gain</x:v>
      </x:c>
      <x:c r="E181" s="16" t="str">
        <x:v>Practical examples or specific applications are included where useful.</x:v>
      </x:c>
      <x:c r="F181" s="16" t="str">
        <x:v>PASS</x:v>
      </x:c>
      <x:c r="G181" s="16" t="str">
        <x:v>Concrete $30 example, adaptable seasonal packaging and planning suggestions are useful; remove unsourced range as a rule.</x:v>
      </x:c>
      <x:c r="H181" s="16"/>
      <x:c r="I181" s="16" t="str">
        <x:v>L241-L363 · https://print247.us/post/christmas-gift-packaging-for-small-business-what-works</x:v>
      </x:c>
    </x:row>
    <x:row r="182" ht="38" customHeight="1">
      <x:c r="A182" s="16" t="n">
        <x:v>4</x:v>
      </x:c>
      <x:c r="B182" s="16" t="str">
        <x:v>Small-business Christmas</x:v>
      </x:c>
      <x:c r="C182" s="16" t="str">
        <x:v>3-2</x:v>
      </x:c>
      <x:c r="D182" s="16" t="str">
        <x:v>Originality &amp; Information Gain</x:v>
      </x:c>
      <x:c r="E182" s="16" t="str">
        <x:v>Readers receive actionable advice or decision-making guidance.</x:v>
      </x:c>
      <x:c r="F182" s="16" t="str">
        <x:v>PASS</x:v>
      </x:c>
      <x:c r="G182" s="16" t="str">
        <x:v>Concrete $30 example, adaptable seasonal packaging and planning suggestions are useful; remove unsourced range as a rule.</x:v>
      </x:c>
      <x:c r="H182" s="16"/>
      <x:c r="I182" s="16" t="str">
        <x:v>L241-L363 · https://print247.us/post/christmas-gift-packaging-for-small-business-what-works</x:v>
      </x:c>
    </x:row>
    <x:row r="183" ht="38" customHeight="1">
      <x:c r="A183" s="16" t="n">
        <x:v>4</x:v>
      </x:c>
      <x:c r="B183" s="16" t="str">
        <x:v>Small-business Christmas</x:v>
      </x:c>
      <x:c r="C183" s="16" t="str">
        <x:v>3-3</x:v>
      </x:c>
      <x:c r="D183" s="16" t="str">
        <x:v>Originality &amp; Information Gain</x:v>
      </x:c>
      <x:c r="E183" s="16" t="str">
        <x:v>Useful comparisons, specifications, or trade-offs are explained.</x:v>
      </x:c>
      <x:c r="F183" s="16" t="str">
        <x:v>PASS</x:v>
      </x:c>
      <x:c r="G183" s="16" t="str">
        <x:v>Concrete $30 example, adaptable seasonal packaging and planning suggestions are useful; remove unsourced range as a rule.</x:v>
      </x:c>
      <x:c r="H183" s="16"/>
      <x:c r="I183" s="16" t="str">
        <x:v>L241-L363 · https://print247.us/post/christmas-gift-packaging-for-small-business-what-works</x:v>
      </x:c>
    </x:row>
    <x:row r="184" ht="38" customHeight="1">
      <x:c r="A184" s="16" t="n">
        <x:v>4</x:v>
      </x:c>
      <x:c r="B184" s="16" t="str">
        <x:v>Small-business Christmas</x:v>
      </x:c>
      <x:c r="C184" s="16" t="str">
        <x:v>3-4</x:v>
      </x:c>
      <x:c r="D184" s="16" t="str">
        <x:v>Originality &amp; Information Gain</x:v>
      </x:c>
      <x:c r="E184" s="16" t="str">
        <x:v>The content offers insights relevant to real packaging purchasing decisions.</x:v>
      </x:c>
      <x:c r="F184" s="16" t="str">
        <x:v>PASS</x:v>
      </x:c>
      <x:c r="G184" s="16" t="str">
        <x:v>Concrete $30 example, adaptable seasonal packaging and planning suggestions are useful; remove unsourced range as a rule.</x:v>
      </x:c>
      <x:c r="H184" s="16"/>
      <x:c r="I184" s="16" t="str">
        <x:v>L241-L363 · https://print247.us/post/christmas-gift-packaging-for-small-business-what-works</x:v>
      </x:c>
    </x:row>
    <x:row r="185" ht="38" customHeight="1">
      <x:c r="A185" s="16" t="n">
        <x:v>4</x:v>
      </x:c>
      <x:c r="B185" s="16" t="str">
        <x:v>Small-business Christmas</x:v>
      </x:c>
      <x:c r="C185" s="16" t="str">
        <x:v>3-5</x:v>
      </x:c>
      <x:c r="D185" s="16" t="str">
        <x:v>Originality &amp; Information Gain</x:v>
      </x:c>
      <x:c r="E185" s="16" t="str">
        <x:v>There is no evident substantial duplication or unattributed copying.</x:v>
      </x:c>
      <x:c r="F185" s="16" t="str">
        <x:v>NOT VERIFIED</x:v>
      </x:c>
      <x:c r="G185" s="16" t="str">
        <x:v>External copying/originality against third-party sources was not checked.</x:v>
      </x:c>
      <x:c r="H185" s="16"/>
      <x:c r="I185" s="16" t="str">
        <x:v>L241-L363 · https://print247.us/post/christmas-gift-packaging-for-small-business-what-works</x:v>
      </x:c>
    </x:row>
    <x:row r="186" ht="38" customHeight="1">
      <x:c r="A186" s="16" t="n">
        <x:v>4</x:v>
      </x:c>
      <x:c r="B186" s="16" t="str">
        <x:v>Small-business Christmas</x:v>
      </x:c>
      <x:c r="C186" s="16" t="str">
        <x:v>4-0</x:v>
      </x:c>
      <x:c r="D186" s="16" t="str">
        <x:v>Structure &amp; Readability</x:v>
      </x:c>
      <x:c r="E186" s="16" t="str">
        <x:v>The introduction is concise and relevant.</x:v>
      </x:c>
      <x:c r="F186" s="16" t="str">
        <x:v>ACCEPTABLE</x:v>
      </x:c>
      <x:c r="G186" s="16" t="str">
        <x:v>Follows option → budget → quantity → timing → design steps with useful organization; conspicuous FAQ grammar can be fixed. This is an acceptable editorial choice or non-material limitation, with no standalone score penalty.</x:v>
      </x:c>
      <x:c r="H186" s="16"/>
      <x:c r="I186" s="16" t="str">
        <x:v>L229-L241 · https://print247.us/post/christmas-gift-packaging-for-small-business-what-works</x:v>
      </x:c>
    </x:row>
    <x:row r="187" ht="38" customHeight="1">
      <x:c r="A187" s="16" t="n">
        <x:v>4</x:v>
      </x:c>
      <x:c r="B187" s="16" t="str">
        <x:v>Small-business Christmas</x:v>
      </x:c>
      <x:c r="C187" s="16" t="str">
        <x:v>4-1</x:v>
      </x:c>
      <x:c r="D187" s="16" t="str">
        <x:v>Structure &amp; Readability</x:v>
      </x:c>
      <x:c r="E187" s="16" t="str">
        <x:v>Headings are descriptive, clear, and logically organized.</x:v>
      </x:c>
      <x:c r="F187" s="16" t="str">
        <x:v>PASS</x:v>
      </x:c>
      <x:c r="G187" s="16" t="str">
        <x:v>Follows option → budget → quantity → timing → design steps with useful organization; conspicuous FAQ grammar can be fixed.</x:v>
      </x:c>
      <x:c r="H187" s="16"/>
      <x:c r="I187" s="16" t="str">
        <x:v>L229-L241 · https://print247.us/post/christmas-gift-packaging-for-small-business-what-works</x:v>
      </x:c>
    </x:row>
    <x:row r="188" ht="38" customHeight="1">
      <x:c r="A188" s="16" t="n">
        <x:v>4</x:v>
      </x:c>
      <x:c r="B188" s="16" t="str">
        <x:v>Small-business Christmas</x:v>
      </x:c>
      <x:c r="C188" s="16" t="str">
        <x:v>4-2</x:v>
      </x:c>
      <x:c r="D188" s="16" t="str">
        <x:v>Structure &amp; Readability</x:v>
      </x:c>
      <x:c r="E188" s="16" t="str">
        <x:v>Paragraphs and sentences are easy to follow.</x:v>
      </x:c>
      <x:c r="F188" s="16" t="str">
        <x:v>PASS</x:v>
      </x:c>
      <x:c r="G188" s="16" t="str">
        <x:v>Follows option → budget → quantity → timing → design steps with useful organization; conspicuous FAQ grammar can be fixed.</x:v>
      </x:c>
      <x:c r="H188" s="16"/>
      <x:c r="I188" s="16" t="str">
        <x:v>L229-L241 · https://print247.us/post/christmas-gift-packaging-for-small-business-what-works</x:v>
      </x:c>
    </x:row>
    <x:row r="189" ht="38" customHeight="1">
      <x:c r="A189" s="16" t="n">
        <x:v>4</x:v>
      </x:c>
      <x:c r="B189" s="16" t="str">
        <x:v>Small-business Christmas</x:v>
      </x:c>
      <x:c r="C189" s="16" t="str">
        <x:v>4-3</x:v>
      </x:c>
      <x:c r="D189" s="16" t="str">
        <x:v>Structure &amp; Readability</x:v>
      </x:c>
      <x:c r="E189" s="16" t="str">
        <x:v>The article progresses logically without unnecessary repetition.</x:v>
      </x:c>
      <x:c r="F189" s="16" t="str">
        <x:v>ACCEPTABLE</x:v>
      </x:c>
      <x:c r="G189" s="16" t="str">
        <x:v>Follows option → budget → quantity → timing → design steps with useful organization; conspicuous FAQ grammar can be fixed. This is an acceptable editorial choice or non-material limitation, with no standalone score penalty.</x:v>
      </x:c>
      <x:c r="H189" s="16"/>
      <x:c r="I189" s="16" t="str">
        <x:v>L229-L241 · https://print247.us/post/christmas-gift-packaging-for-small-business-what-works</x:v>
      </x:c>
    </x:row>
    <x:row r="190" ht="38" customHeight="1">
      <x:c r="A190" s="16" t="n">
        <x:v>4</x:v>
      </x:c>
      <x:c r="B190" s="16" t="str">
        <x:v>Small-business Christmas</x:v>
      </x:c>
      <x:c r="C190" s="16" t="str">
        <x:v>4-4</x:v>
      </x:c>
      <x:c r="D190" s="16" t="str">
        <x:v>Structure &amp; Readability</x:v>
      </x:c>
      <x:c r="E190" s="16" t="str">
        <x:v>Tables, lists, and examples improve understanding where appropriate.</x:v>
      </x:c>
      <x:c r="F190" s="16" t="str">
        <x:v>PASS</x:v>
      </x:c>
      <x:c r="G190" s="16" t="str">
        <x:v>Follows option → budget → quantity → timing → design steps with useful organization; conspicuous FAQ grammar can be fixed.</x:v>
      </x:c>
      <x:c r="H190" s="16"/>
      <x:c r="I190" s="16" t="str">
        <x:v>L229-L241 · https://print247.us/post/christmas-gift-packaging-for-small-business-what-works</x:v>
      </x:c>
    </x:row>
    <x:row r="191" ht="38" customHeight="1">
      <x:c r="A191" s="16" t="n">
        <x:v>4</x:v>
      </x:c>
      <x:c r="B191" s="16" t="str">
        <x:v>Small-business Christmas</x:v>
      </x:c>
      <x:c r="C191" s="16" t="str">
        <x:v>4-5</x:v>
      </x:c>
      <x:c r="D191" s="16" t="str">
        <x:v>Structure &amp; Readability</x:v>
      </x:c>
      <x:c r="E191" s="16" t="str">
        <x:v>The conclusion summarizes useful takeaways or next steps.</x:v>
      </x:c>
      <x:c r="F191" s="16" t="str">
        <x:v>PASS</x:v>
      </x:c>
      <x:c r="G191" s="16" t="str">
        <x:v>Follows option → budget → quantity → timing → design steps with useful organization; conspicuous FAQ grammar can be fixed.</x:v>
      </x:c>
      <x:c r="H191" s="16"/>
      <x:c r="I191" s="16" t="str">
        <x:v>L229-L241 · https://print247.us/post/christmas-gift-packaging-for-small-business-what-works</x:v>
      </x:c>
    </x:row>
    <x:row r="192" ht="38" customHeight="1">
      <x:c r="A192" s="16" t="n">
        <x:v>4</x:v>
      </x:c>
      <x:c r="B192" s="16" t="str">
        <x:v>Small-business Christmas</x:v>
      </x:c>
      <x:c r="C192" s="16" t="str">
        <x:v>5-0</x:v>
      </x:c>
      <x:c r="D192" s="16" t="str">
        <x:v>Keyword Integration</x:v>
      </x:c>
      <x:c r="E192" s="16" t="str">
        <x:v>The primary keyword is used naturally in relevant locations.</x:v>
      </x:c>
      <x:c r="F192" s="16" t="str">
        <x:v>PASS</x:v>
      </x:c>
      <x:c r="G192" s="16" t="str">
        <x:v>Focus terms Christmas gift packaging, small businesses, custom boxes, mailers, MOQ and lead time occur naturally.</x:v>
      </x:c>
      <x:c r="H192" s="16"/>
      <x:c r="I192" s="16" t="str">
        <x:v>L241-L363 · https://print247.us/post/christmas-gift-packaging-for-small-business-what-works</x:v>
      </x:c>
    </x:row>
    <x:row r="193" ht="38" customHeight="1">
      <x:c r="A193" s="16" t="n">
        <x:v>4</x:v>
      </x:c>
      <x:c r="B193" s="16" t="str">
        <x:v>Small-business Christmas</x:v>
      </x:c>
      <x:c r="C193" s="16" t="str">
        <x:v>5-1</x:v>
      </x:c>
      <x:c r="D193" s="16" t="str">
        <x:v>Keyword Integration</x:v>
      </x:c>
      <x:c r="E193" s="16" t="str">
        <x:v>Supporting terms and variations fit the article’s context.</x:v>
      </x:c>
      <x:c r="F193" s="16" t="str">
        <x:v>PASS</x:v>
      </x:c>
      <x:c r="G193" s="16" t="str">
        <x:v>Focus terms Christmas gift packaging, small businesses, custom boxes, mailers, MOQ and lead time occur naturally.</x:v>
      </x:c>
      <x:c r="H193" s="16"/>
      <x:c r="I193" s="16" t="str">
        <x:v>L241-L363 · https://print247.us/post/christmas-gift-packaging-for-small-business-what-works</x:v>
      </x:c>
    </x:row>
    <x:row r="194" ht="38" customHeight="1">
      <x:c r="A194" s="16" t="n">
        <x:v>4</x:v>
      </x:c>
      <x:c r="B194" s="16" t="str">
        <x:v>Small-business Christmas</x:v>
      </x:c>
      <x:c r="C194" s="16" t="str">
        <x:v>5-2</x:v>
      </x:c>
      <x:c r="D194" s="16" t="str">
        <x:v>Keyword Integration</x:v>
      </x:c>
      <x:c r="E194" s="16" t="str">
        <x:v>Headings are descriptive rather than keyword-stuffed.</x:v>
      </x:c>
      <x:c r="F194" s="16" t="str">
        <x:v>PASS</x:v>
      </x:c>
      <x:c r="G194" s="16" t="str">
        <x:v>Focus terms Christmas gift packaging, small businesses, custom boxes, mailers, MOQ and lead time occur naturally.</x:v>
      </x:c>
      <x:c r="H194" s="16"/>
      <x:c r="I194" s="16" t="str">
        <x:v>L241-L363 · https://print247.us/post/christmas-gift-packaging-for-small-business-what-works</x:v>
      </x:c>
    </x:row>
    <x:row r="195" ht="38" customHeight="1">
      <x:c r="A195" s="16" t="n">
        <x:v>4</x:v>
      </x:c>
      <x:c r="B195" s="16" t="str">
        <x:v>Small-business Christmas</x:v>
      </x:c>
      <x:c r="C195" s="16" t="str">
        <x:v>5-3</x:v>
      </x:c>
      <x:c r="D195" s="16" t="str">
        <x:v>Keyword Integration</x:v>
      </x:c>
      <x:c r="E195" s="16" t="str">
        <x:v>There is no excessive exact-match keyword repetition.</x:v>
      </x:c>
      <x:c r="F195" s="16" t="str">
        <x:v>PASS</x:v>
      </x:c>
      <x:c r="G195" s="16" t="str">
        <x:v>Focus terms Christmas gift packaging, small businesses, custom boxes, mailers, MOQ and lead time occur naturally.</x:v>
      </x:c>
      <x:c r="H195" s="16"/>
      <x:c r="I195" s="16" t="str">
        <x:v>L241-L363 · https://print247.us/post/christmas-gift-packaging-for-small-business-what-works</x:v>
      </x:c>
    </x:row>
    <x:row r="196" ht="38" customHeight="1">
      <x:c r="A196" s="16" t="n">
        <x:v>4</x:v>
      </x:c>
      <x:c r="B196" s="16" t="str">
        <x:v>Small-business Christmas</x:v>
      </x:c>
      <x:c r="C196" s="16" t="str">
        <x:v>5-4</x:v>
      </x:c>
      <x:c r="D196" s="16" t="str">
        <x:v>Keyword Integration</x:v>
      </x:c>
      <x:c r="E196" s="16" t="str">
        <x:v>The article consistently addresses one coherent primary intent.</x:v>
      </x:c>
      <x:c r="F196" s="16" t="str">
        <x:v>PASS</x:v>
      </x:c>
      <x:c r="G196" s="16" t="str">
        <x:v>Focus terms Christmas gift packaging, small businesses, custom boxes, mailers, MOQ and lead time occur naturally.</x:v>
      </x:c>
      <x:c r="H196" s="16"/>
      <x:c r="I196" s="16" t="str">
        <x:v>L241-L363 · https://print247.us/post/christmas-gift-packaging-for-small-business-what-works</x:v>
      </x:c>
    </x:row>
    <x:row r="197" ht="38" customHeight="1">
      <x:c r="A197" s="16" t="n">
        <x:v>4</x:v>
      </x:c>
      <x:c r="B197" s="16" t="str">
        <x:v>Small-business Christmas</x:v>
      </x:c>
      <x:c r="C197" s="16" t="str">
        <x:v>6-0</x:v>
      </x:c>
      <x:c r="D197" s="16" t="str">
        <x:v>B2B Audience &amp; Commercial Alignment</x:v>
      </x:c>
      <x:c r="E197" s="16" t="str">
        <x:v>The intended business buyer is clearly identifiable.</x:v>
      </x:c>
      <x:c r="F197" s="16" t="str">
        <x:v>PASS</x:v>
      </x:c>
      <x:c r="G197" s="16" t="str">
        <x:v>Budget, seasonality, MOQ and ordering timelines directly address SMB procurement decisions.</x:v>
      </x:c>
      <x:c r="H197" s="16"/>
      <x:c r="I197" s="16" t="str">
        <x:v>L241-L362 · https://print247.us/post/christmas-gift-packaging-for-small-business-what-works</x:v>
      </x:c>
    </x:row>
    <x:row r="198" ht="38" customHeight="1">
      <x:c r="A198" s="16" t="n">
        <x:v>4</x:v>
      </x:c>
      <x:c r="B198" s="16" t="str">
        <x:v>Small-business Christmas</x:v>
      </x:c>
      <x:c r="C198" s="16" t="str">
        <x:v>6-1</x:v>
      </x:c>
      <x:c r="D198" s="16" t="str">
        <x:v>B2B Audience &amp; Commercial Alignment</x:v>
      </x:c>
      <x:c r="E198" s="16" t="str">
        <x:v>The content addresses practical business or procurement needs.</x:v>
      </x:c>
      <x:c r="F198" s="16" t="str">
        <x:v>NEEDS IMPROVEMENT</x:v>
      </x:c>
      <x:c r="G198" s="16" t="str">
        <x:v>The 2–5% range is plausible as a discretionary additional festive-packaging allowance, but should not be called a general small-business spending rule. Rewrite it as an illustrative option, not an industry benchmark.</x:v>
      </x:c>
      <x:c r="H198" s="16" t="str">
        <x:v>HB04-01</x:v>
      </x:c>
      <x:c r="I198" s="16" t="str">
        <x:v>L241-L362 · https://print247.us/post/christmas-gift-packaging-for-small-business-what-works</x:v>
      </x:c>
    </x:row>
    <x:row r="199" ht="38" customHeight="1">
      <x:c r="A199" s="16" t="n">
        <x:v>4</x:v>
      </x:c>
      <x:c r="B199" s="16" t="str">
        <x:v>Small-business Christmas</x:v>
      </x:c>
      <x:c r="C199" s="16" t="str">
        <x:v>6-2</x:v>
      </x:c>
      <x:c r="D199" s="16" t="str">
        <x:v>B2B Audience &amp; Commercial Alignment</x:v>
      </x:c>
      <x:c r="E199" s="16" t="str">
        <x:v>Relevant considerations such as MOQ, customization, materials, printing, or lead times are explained where appropriate.</x:v>
      </x:c>
      <x:c r="F199" s="16" t="str">
        <x:v>NEEDS IMPROVEMENT</x:v>
      </x:c>
      <x:c r="G199" s="16" t="str">
        <x:v>Digital and supplier minimum quantities vary greatly; 500–1,000 can be one scenario, not a universal minimum for small companies.</x:v>
      </x:c>
      <x:c r="H199" s="16" t="str">
        <x:v>HB04-02</x:v>
      </x:c>
      <x:c r="I199" s="16" t="str">
        <x:v>L241-L362 · https://print247.us/post/christmas-gift-packaging-for-small-business-what-works</x:v>
      </x:c>
    </x:row>
    <x:row r="200" ht="38" customHeight="1">
      <x:c r="A200" s="16" t="n">
        <x:v>4</x:v>
      </x:c>
      <x:c r="B200" s="16" t="str">
        <x:v>Small-business Christmas</x:v>
      </x:c>
      <x:c r="C200" s="16" t="str">
        <x:v>6-3</x:v>
      </x:c>
      <x:c r="D200" s="16" t="str">
        <x:v>B2B Audience &amp; Commercial Alignment</x:v>
      </x:c>
      <x:c r="E200" s="16" t="str">
        <x:v>The content supports an informed product or packaging decision.</x:v>
      </x:c>
      <x:c r="F200" s="16" t="str">
        <x:v>PASS</x:v>
      </x:c>
      <x:c r="G200" s="16" t="str">
        <x:v>Budget, seasonality, MOQ and ordering timelines directly address SMB procurement decisions.</x:v>
      </x:c>
      <x:c r="H200" s="16"/>
      <x:c r="I200" s="16" t="str">
        <x:v>L241-L362 · https://print247.us/post/christmas-gift-packaging-for-small-business-what-works</x:v>
      </x:c>
    </x:row>
    <x:row r="201" ht="38" customHeight="1">
      <x:c r="A201" s="16" t="n">
        <x:v>4</x:v>
      </x:c>
      <x:c r="B201" s="16" t="str">
        <x:v>Small-business Christmas</x:v>
      </x:c>
      <x:c r="C201" s="16" t="str">
        <x:v>6-4</x:v>
      </x:c>
      <x:c r="D201" s="16" t="str">
        <x:v>B2B Audience &amp; Commercial Alignment</x:v>
      </x:c>
      <x:c r="E201" s="16" t="str">
        <x:v>Product or category references are contextually relevant.</x:v>
      </x:c>
      <x:c r="F201" s="16" t="str">
        <x:v>PASS</x:v>
      </x:c>
      <x:c r="G201" s="16" t="str">
        <x:v>Budget, seasonality, MOQ and ordering timelines directly address SMB procurement decisions.</x:v>
      </x:c>
      <x:c r="H201" s="16"/>
      <x:c r="I201" s="16" t="str">
        <x:v>L241-L362 · https://print247.us/post/christmas-gift-packaging-for-small-business-what-works</x:v>
      </x:c>
    </x:row>
    <x:row r="202" ht="38" customHeight="1">
      <x:c r="A202" s="16" t="n">
        <x:v>4</x:v>
      </x:c>
      <x:c r="B202" s="16" t="str">
        <x:v>Small-business Christmas</x:v>
      </x:c>
      <x:c r="C202" s="16" t="str">
        <x:v>6-5</x:v>
      </x:c>
      <x:c r="D202" s="16" t="str">
        <x:v>B2B Audience &amp; Commercial Alignment</x:v>
      </x:c>
      <x:c r="E202" s="16" t="str">
        <x:v>Commercial calls to action are helpful and appropriate to the article’s intent.</x:v>
      </x:c>
      <x:c r="F202" s="16" t="str">
        <x:v>PASS</x:v>
      </x:c>
      <x:c r="G202" s="16" t="str">
        <x:v>Budget, seasonality, MOQ and ordering timelines directly address SMB procurement decisions.</x:v>
      </x:c>
      <x:c r="H202" s="16"/>
      <x:c r="I202" s="16" t="str">
        <x:v>L241-L362 · https://print247.us/post/christmas-gift-packaging-for-small-business-what-works</x:v>
      </x:c>
    </x:row>
    <x:row r="203" ht="38" customHeight="1">
      <x:c r="A203" s="16" t="n">
        <x:v>4</x:v>
      </x:c>
      <x:c r="B203" s="16" t="str">
        <x:v>Small-business Christmas</x:v>
      </x:c>
      <x:c r="C203" s="16" t="str">
        <x:v>7-0</x:v>
      </x:c>
      <x:c r="D203" s="16" t="str">
        <x:v>Internal Linking</x:v>
      </x:c>
      <x:c r="E203" s="16" t="str">
        <x:v>Relevant internal links are included where useful.</x:v>
      </x:c>
      <x:c r="F203" s="16" t="str">
        <x:v>PASS</x:v>
      </x:c>
      <x:c r="G203" s="16" t="str">
        <x:v>Links connect mailer boxes, folding cartons, festive accessories and labels; HTTP destination behavior not independently tested.</x:v>
      </x:c>
      <x:c r="H203" s="16"/>
      <x:c r="I203" s="16" t="str">
        <x:v>L241-L363 · https://print247.us/post/christmas-gift-packaging-for-small-business-what-works</x:v>
      </x:c>
    </x:row>
    <x:row r="204" ht="38" customHeight="1">
      <x:c r="A204" s="16" t="n">
        <x:v>4</x:v>
      </x:c>
      <x:c r="B204" s="16" t="str">
        <x:v>Small-business Christmas</x:v>
      </x:c>
      <x:c r="C204" s="16" t="str">
        <x:v>7-1</x:v>
      </x:c>
      <x:c r="D204" s="16" t="str">
        <x:v>Internal Linking</x:v>
      </x:c>
      <x:c r="E204" s="16" t="str">
        <x:v>Anchor text clearly describes the destination.</x:v>
      </x:c>
      <x:c r="F204" s="16" t="str">
        <x:v>PASS</x:v>
      </x:c>
      <x:c r="G204" s="16" t="str">
        <x:v>Links connect mailer boxes, folding cartons, festive accessories and labels; HTTP destination behavior not independently tested.</x:v>
      </x:c>
      <x:c r="H204" s="16"/>
      <x:c r="I204" s="16" t="str">
        <x:v>L241-L363 · https://print247.us/post/christmas-gift-packaging-for-small-business-what-works</x:v>
      </x:c>
    </x:row>
    <x:row r="205" ht="38" customHeight="1">
      <x:c r="A205" s="16" t="n">
        <x:v>4</x:v>
      </x:c>
      <x:c r="B205" s="16" t="str">
        <x:v>Small-business Christmas</x:v>
      </x:c>
      <x:c r="C205" s="16" t="str">
        <x:v>7-2</x:v>
      </x:c>
      <x:c r="D205" s="16" t="str">
        <x:v>Internal Linking</x:v>
      </x:c>
      <x:c r="E205" s="16" t="str">
        <x:v>Linked product, category, or informational pages are contextually relevant.</x:v>
      </x:c>
      <x:c r="F205" s="16" t="str">
        <x:v>PASS</x:v>
      </x:c>
      <x:c r="G205" s="16" t="str">
        <x:v>Links connect mailer boxes, folding cartons, festive accessories and labels; HTTP destination behavior not independently tested.</x:v>
      </x:c>
      <x:c r="H205" s="16"/>
      <x:c r="I205" s="16" t="str">
        <x:v>L241-L363 · https://print247.us/post/christmas-gift-packaging-for-small-business-what-works</x:v>
      </x:c>
    </x:row>
    <x:row r="206" ht="38" customHeight="1">
      <x:c r="A206" s="16" t="n">
        <x:v>4</x:v>
      </x:c>
      <x:c r="B206" s="16" t="str">
        <x:v>Small-business Christmas</x:v>
      </x:c>
      <x:c r="C206" s="16" t="str">
        <x:v>7-3</x:v>
      </x:c>
      <x:c r="D206" s="16" t="str">
        <x:v>Internal Linking</x:v>
      </x:c>
      <x:c r="E206" s="16" t="str">
        <x:v>Links lead to appropriate working destinations.</x:v>
      </x:c>
      <x:c r="F206" s="16" t="str">
        <x:v>NOT VERIFIED</x:v>
      </x:c>
      <x:c r="G206" s="16" t="str">
        <x:v>Link HTTP resolution, redirects, indexability and exhaustive alternate destinations were not independently tested.</x:v>
      </x:c>
      <x:c r="H206" s="16"/>
      <x:c r="I206" s="16" t="str">
        <x:v>L241-L363 · https://print247.us/post/christmas-gift-packaging-for-small-business-what-works</x:v>
      </x:c>
    </x:row>
    <x:row r="207" ht="38" customHeight="1">
      <x:c r="A207" s="16" t="n">
        <x:v>4</x:v>
      </x:c>
      <x:c r="B207" s="16" t="str">
        <x:v>Small-business Christmas</x:v>
      </x:c>
      <x:c r="C207" s="16" t="str">
        <x:v>7-4</x:v>
      </x:c>
      <x:c r="D207" s="16" t="str">
        <x:v>Internal Linking</x:v>
      </x:c>
      <x:c r="E207" s="16" t="str">
        <x:v>Important natural internal linking opportunities are not overlooked.</x:v>
      </x:c>
      <x:c r="F207" s="16" t="str">
        <x:v>NOT VERIFIED</x:v>
      </x:c>
      <x:c r="G207" s="16" t="str">
        <x:v>Link HTTP resolution, redirects, indexability and exhaustive alternate destinations were not independently tested.</x:v>
      </x:c>
      <x:c r="H207" s="16"/>
      <x:c r="I207" s="16" t="str">
        <x:v>L241-L363 · https://print247.us/post/christmas-gift-packaging-for-small-business-what-works</x:v>
      </x:c>
    </x:row>
    <x:row r="208" ht="38" customHeight="1">
      <x:c r="A208" s="16" t="n">
        <x:v>4</x:v>
      </x:c>
      <x:c r="B208" s="16" t="str">
        <x:v>Small-business Christmas</x:v>
      </x:c>
      <x:c r="C208" s="16" t="str">
        <x:v>8-0</x:v>
      </x:c>
      <x:c r="D208" s="16" t="str">
        <x:v>Grammar &amp; Editorial Quality</x:v>
      </x:c>
      <x:c r="E208" s="16" t="str">
        <x:v>Grammar, spelling, and punctuation are correct.</x:v>
      </x:c>
      <x:c r="F208" s="16" t="str">
        <x:v>NEEDS IMPROVEMENT</x:v>
      </x:c>
      <x:c r="G208" s="16" t="str">
        <x:v>This is a conspicuous error in a highly scanned FAQ answer; it is worth fixing, but isolated grammar should not dominate a writer-level rating.</x:v>
      </x:c>
      <x:c r="H208" s="16" t="str">
        <x:v>HB04-04</x:v>
      </x:c>
      <x:c r="I208" s="16" t="str">
        <x:v>L363-L376 · https://print247.us/post/christmas-gift-packaging-for-small-business-what-works</x:v>
      </x:c>
    </x:row>
    <x:row r="209" ht="38" customHeight="1">
      <x:c r="A209" s="16" t="n">
        <x:v>4</x:v>
      </x:c>
      <x:c r="B209" s="16" t="str">
        <x:v>Small-business Christmas</x:v>
      </x:c>
      <x:c r="C209" s="16" t="str">
        <x:v>8-1</x:v>
      </x:c>
      <x:c r="D209" s="16" t="str">
        <x:v>Grammar &amp; Editorial Quality</x:v>
      </x:c>
      <x:c r="E209" s="16" t="str">
        <x:v>American English conventions are applied consistently.</x:v>
      </x:c>
      <x:c r="F209" s="16" t="str">
        <x:v>PASS</x:v>
      </x:c>
      <x:c r="G209" s="16" t="str">
        <x:v>Clearly directed at small businesses; the FAQ contains one conspicuous grammatical error and overconfident assurances.</x:v>
      </x:c>
      <x:c r="H209" s="16"/>
      <x:c r="I209" s="16" t="str">
        <x:v>L363-L376 · https://print247.us/post/christmas-gift-packaging-for-small-business-what-works</x:v>
      </x:c>
    </x:row>
    <x:row r="210" ht="38" customHeight="1">
      <x:c r="A210" s="16" t="n">
        <x:v>4</x:v>
      </x:c>
      <x:c r="B210" s="16" t="str">
        <x:v>Small-business Christmas</x:v>
      </x:c>
      <x:c r="C210" s="16" t="str">
        <x:v>8-2</x:v>
      </x:c>
      <x:c r="D210" s="16" t="str">
        <x:v>Grammar &amp; Editorial Quality</x:v>
      </x:c>
      <x:c r="E210" s="16" t="str">
        <x:v>Sentences sound natural and professional.</x:v>
      </x:c>
      <x:c r="F210" s="16" t="str">
        <x:v>NEEDS IMPROVEMENT</x:v>
      </x:c>
      <x:c r="G210" s="16" t="str">
        <x:v>This is a conspicuous error in a highly scanned FAQ answer; it is worth fixing, but isolated grammar should not dominate a writer-level rating.</x:v>
      </x:c>
      <x:c r="H210" s="16" t="str">
        <x:v>HB04-04</x:v>
      </x:c>
      <x:c r="I210" s="16" t="str">
        <x:v>L363-L376 · https://print247.us/post/christmas-gift-packaging-for-small-business-what-works</x:v>
      </x:c>
    </x:row>
    <x:row r="211" ht="38" customHeight="1">
      <x:c r="A211" s="16" t="n">
        <x:v>4</x:v>
      </x:c>
      <x:c r="B211" s="16" t="str">
        <x:v>Small-business Christmas</x:v>
      </x:c>
      <x:c r="C211" s="16" t="str">
        <x:v>8-3</x:v>
      </x:c>
      <x:c r="D211" s="16" t="str">
        <x:v>Grammar &amp; Editorial Quality</x:v>
      </x:c>
      <x:c r="E211" s="16" t="str">
        <x:v>Terminology and brand voice remain consistent.</x:v>
      </x:c>
      <x:c r="F211" s="16" t="str">
        <x:v>ACCEPTABLE</x:v>
      </x:c>
      <x:c r="G211" s="16" t="str">
        <x:v>Clearly directed at small businesses; the FAQ contains one conspicuous grammatical error and overconfident assurances. This is an acceptable editorial choice or non-material limitation, with no standalone score penalty.</x:v>
      </x:c>
      <x:c r="H211" s="16"/>
      <x:c r="I211" s="16" t="str">
        <x:v>L363-L376 · https://print247.us/post/christmas-gift-packaging-for-small-business-what-works</x:v>
      </x:c>
    </x:row>
    <x:row r="212" ht="38" customHeight="1">
      <x:c r="A212" s="16" t="n">
        <x:v>4</x:v>
      </x:c>
      <x:c r="B212" s="16" t="str">
        <x:v>Small-business Christmas</x:v>
      </x:c>
      <x:c r="C212" s="16" t="str">
        <x:v>8-4</x:v>
      </x:c>
      <x:c r="D212" s="16" t="str">
        <x:v>Grammar &amp; Editorial Quality</x:v>
      </x:c>
      <x:c r="E212" s="16" t="str">
        <x:v>Filler, awkward phrasing, and unnecessary repetition are minimized.</x:v>
      </x:c>
      <x:c r="F212" s="16" t="str">
        <x:v>ACCEPTABLE</x:v>
      </x:c>
      <x:c r="G212" s="16" t="str">
        <x:v>Clearly directed at small businesses; the FAQ contains one conspicuous grammatical error and overconfident assurances. This is an acceptable editorial choice or non-material limitation, with no standalone score penalty.</x:v>
      </x:c>
      <x:c r="H212" s="16"/>
      <x:c r="I212" s="16" t="str">
        <x:v>L363-L376 · https://print247.us/post/christmas-gift-packaging-for-small-business-what-works</x:v>
      </x:c>
    </x:row>
    <x:row r="213" ht="38" customHeight="1">
      <x:c r="A213" s="16" t="n">
        <x:v>4</x:v>
      </x:c>
      <x:c r="B213" s="16" t="str">
        <x:v>Small-business Christmas</x:v>
      </x:c>
      <x:c r="C213" s="16" t="str">
        <x:v>8-5</x:v>
      </x:c>
      <x:c r="D213" s="16" t="str">
        <x:v>Grammar &amp; Editorial Quality</x:v>
      </x:c>
      <x:c r="E213" s="16" t="str">
        <x:v>Claims avoid exaggerated or unsupported promotional language.</x:v>
      </x:c>
      <x:c r="F213" s="16" t="str">
        <x:v>ACCEPTABLE</x:v>
      </x:c>
      <x:c r="G213" s="16" t="str">
        <x:v>Previously flagged preference/marketing language was eliminated in management review. No verified material defect remains for this diagnostic item; no writer penalty.</x:v>
      </x:c>
      <x:c r="H213" s="16"/>
      <x:c r="I213" s="16" t="str">
        <x:v>L363-L376 · https://print247.us/post/christmas-gift-packaging-for-small-business-what-works</x:v>
      </x:c>
    </x:row>
    <x:row r="214" ht="38" customHeight="1">
      <x:c r="A214" s="16" t="n">
        <x:v>5</x:v>
      </x:c>
      <x:c r="B214" s="16" t="str">
        <x:v>Christmas candy boxes</x:v>
      </x:c>
      <x:c r="C214" s="16" t="str">
        <x:v>0-0</x:v>
      </x:c>
      <x:c r="D214" s="16" t="str">
        <x:v>Search Intent &amp; Topic Targeting</x:v>
      </x:c>
      <x:c r="E214" s="16" t="str">
        <x:v>The article has a clear primary topic and target query.</x:v>
      </x:c>
      <x:c r="F214" s="16" t="str">
        <x:v>PASS</x:v>
      </x:c>
      <x:c r="G214" s="16" t="str">
        <x:v>Seven design ideas and a separate box-style comparison satisfy the ideation intent; performance claims need qualification.</x:v>
      </x:c>
      <x:c r="H214" s="16"/>
      <x:c r="I214" s="16" t="str">
        <x:v>L230-L255 · https://print247.us/post/christmas-candy-box-ideas</x:v>
      </x:c>
    </x:row>
    <x:row r="215" ht="38" customHeight="1">
      <x:c r="A215" s="16" t="n">
        <x:v>5</x:v>
      </x:c>
      <x:c r="B215" s="16" t="str">
        <x:v>Christmas candy boxes</x:v>
      </x:c>
      <x:c r="C215" s="16" t="str">
        <x:v>0-1</x:v>
      </x:c>
      <x:c r="D215" s="16" t="str">
        <x:v>Search Intent &amp; Topic Targeting</x:v>
      </x:c>
      <x:c r="E215" s="16" t="str">
        <x:v>The title accurately reflects what the article delivers.</x:v>
      </x:c>
      <x:c r="F215" s="16" t="str">
        <x:v>PASS</x:v>
      </x:c>
      <x:c r="G215" s="16" t="str">
        <x:v>Seven design ideas and a separate box-style comparison satisfy the ideation intent; performance claims need qualification.</x:v>
      </x:c>
      <x:c r="H215" s="16"/>
      <x:c r="I215" s="16" t="str">
        <x:v>L230-L255 · https://print247.us/post/christmas-candy-box-ideas</x:v>
      </x:c>
    </x:row>
    <x:row r="216" ht="38" customHeight="1">
      <x:c r="A216" s="16" t="n">
        <x:v>5</x:v>
      </x:c>
      <x:c r="B216" s="16" t="str">
        <x:v>Christmas candy boxes</x:v>
      </x:c>
      <x:c r="C216" s="16" t="str">
        <x:v>0-2</x:v>
      </x:c>
      <x:c r="D216" s="16" t="str">
        <x:v>Search Intent &amp; Topic Targeting</x:v>
      </x:c>
      <x:c r="E216" s="16" t="str">
        <x:v>The introduction answers or directly addresses the main search intent.</x:v>
      </x:c>
      <x:c r="F216" s="16" t="str">
        <x:v>ACCEPTABLE</x:v>
      </x:c>
      <x:c r="G216" s="16" t="str">
        <x:v>Seven design ideas and a separate box-style comparison satisfy the ideation intent; performance claims need qualification. This is an acceptable editorial choice or non-material limitation, with no standalone score penalty.</x:v>
      </x:c>
      <x:c r="H216" s="16"/>
      <x:c r="I216" s="16" t="str">
        <x:v>L230-L255 · https://print247.us/post/christmas-candy-box-ideas</x:v>
      </x:c>
    </x:row>
    <x:row r="217" ht="38" customHeight="1">
      <x:c r="A217" s="16" t="n">
        <x:v>5</x:v>
      </x:c>
      <x:c r="B217" s="16" t="str">
        <x:v>Christmas candy boxes</x:v>
      </x:c>
      <x:c r="C217" s="16" t="str">
        <x:v>0-3</x:v>
      </x:c>
      <x:c r="D217" s="16" t="str">
        <x:v>Search Intent &amp; Topic Targeting</x:v>
      </x:c>
      <x:c r="E217" s="16" t="str">
        <x:v>The content solves the reader’s primary problem.</x:v>
      </x:c>
      <x:c r="F217" s="16" t="str">
        <x:v>PASS</x:v>
      </x:c>
      <x:c r="G217" s="16" t="str">
        <x:v>Seven design ideas and a separate box-style comparison satisfy the ideation intent; performance claims need qualification.</x:v>
      </x:c>
      <x:c r="H217" s="16"/>
      <x:c r="I217" s="16" t="str">
        <x:v>L230-L255 · https://print247.us/post/christmas-candy-box-ideas</x:v>
      </x:c>
    </x:row>
    <x:row r="218" ht="38" customHeight="1">
      <x:c r="A218" s="16" t="n">
        <x:v>5</x:v>
      </x:c>
      <x:c r="B218" s="16" t="str">
        <x:v>Christmas candy boxes</x:v>
      </x:c>
      <x:c r="C218" s="16" t="str">
        <x:v>0-4</x:v>
      </x:c>
      <x:c r="D218" s="16" t="str">
        <x:v>Search Intent &amp; Topic Targeting</x:v>
      </x:c>
      <x:c r="E218" s="16" t="str">
        <x:v>Sections stay focused on the main topic without unnecessary tangents.</x:v>
      </x:c>
      <x:c r="F218" s="16" t="str">
        <x:v>ACCEPTABLE</x:v>
      </x:c>
      <x:c r="G218" s="16" t="str">
        <x:v>Seven design ideas and a separate box-style comparison satisfy the ideation intent; performance claims need qualification. This is an acceptable editorial choice or non-material limitation, with no standalone score penalty.</x:v>
      </x:c>
      <x:c r="H218" s="16"/>
      <x:c r="I218" s="16" t="str">
        <x:v>L230-L255 · https://print247.us/post/christmas-candy-box-ideas</x:v>
      </x:c>
    </x:row>
    <x:row r="219" ht="38" customHeight="1">
      <x:c r="A219" s="16" t="n">
        <x:v>5</x:v>
      </x:c>
      <x:c r="B219" s="16" t="str">
        <x:v>Christmas candy boxes</x:v>
      </x:c>
      <x:c r="C219" s="16" t="str">
        <x:v>0-5</x:v>
      </x:c>
      <x:c r="D219" s="16" t="str">
        <x:v>Search Intent &amp; Topic Targeting</x:v>
      </x:c>
      <x:c r="E219" s="16" t="str">
        <x:v>The article matches the expected informational or commercial intent.</x:v>
      </x:c>
      <x:c r="F219" s="16" t="str">
        <x:v>PASS</x:v>
      </x:c>
      <x:c r="G219" s="16" t="str">
        <x:v>Seven design ideas and a separate box-style comparison satisfy the ideation intent; performance claims need qualification.</x:v>
      </x:c>
      <x:c r="H219" s="16"/>
      <x:c r="I219" s="16" t="str">
        <x:v>L230-L255 · https://print247.us/post/christmas-candy-box-ideas</x:v>
      </x:c>
    </x:row>
    <x:row r="220" ht="38" customHeight="1">
      <x:c r="A220" s="16" t="n">
        <x:v>5</x:v>
      </x:c>
      <x:c r="B220" s="16" t="str">
        <x:v>Christmas candy boxes</x:v>
      </x:c>
      <x:c r="C220" s="16" t="str">
        <x:v>1-0</x:v>
      </x:c>
      <x:c r="D220" s="16" t="str">
        <x:v>Factual Accuracy &amp; Research</x:v>
      </x:c>
      <x:c r="E220" s="16" t="str">
        <x:v>Product, material, and packaging terminology is accurate.</x:v>
      </x:c>
      <x:c r="F220" s="16" t="str">
        <x:v>PASS</x:v>
      </x:c>
      <x:c r="G220" s="16" t="str">
        <x:v>The packaging categories are credible, but absolute precision and nationwide delivery assurances are not adequately conditioned.</x:v>
      </x:c>
      <x:c r="H220" s="16"/>
      <x:c r="I220" s="16" t="str">
        <x:v>L255-L402 · https://print247.us/post/christmas-candy-box-ideas</x:v>
      </x:c>
    </x:row>
    <x:row r="221" ht="38" customHeight="1">
      <x:c r="A221" s="16" t="n">
        <x:v>5</x:v>
      </x:c>
      <x:c r="B221" s="16" t="str">
        <x:v>Christmas candy boxes</x:v>
      </x:c>
      <x:c r="C221" s="16" t="str">
        <x:v>1-1</x:v>
      </x:c>
      <x:c r="D221" s="16" t="str">
        <x:v>Factual Accuracy &amp; Research</x:v>
      </x:c>
      <x:c r="E221" s="16" t="str">
        <x:v>Specifications, dimensions, and technical statements are correct.</x:v>
      </x:c>
      <x:c r="F221" s="16" t="str">
        <x:v>PASS</x:v>
      </x:c>
      <x:c r="G221" s="16" t="str">
        <x:v>The packaging categories are credible, but absolute precision and nationwide delivery assurances are not adequately conditioned.</x:v>
      </x:c>
      <x:c r="H221" s="16"/>
      <x:c r="I221" s="16" t="str">
        <x:v>L255-L402 · https://print247.us/post/christmas-candy-box-ideas</x:v>
      </x:c>
    </x:row>
    <x:row r="222" ht="38" customHeight="1">
      <x:c r="A222" s="16" t="n">
        <x:v>5</x:v>
      </x:c>
      <x:c r="B222" s="16" t="str">
        <x:v>Christmas candy boxes</x:v>
      </x:c>
      <x:c r="C222" s="16" t="str">
        <x:v>1-2</x:v>
      </x:c>
      <x:c r="D222" s="16" t="str">
        <x:v>Factual Accuracy &amp; Research</x:v>
      </x:c>
      <x:c r="E222" s="16" t="str">
        <x:v>Statistics and significant factual claims have credible support.</x:v>
      </x:c>
      <x:c r="F222" s="16" t="str">
        <x:v>ACCEPTABLE</x:v>
      </x:c>
      <x:c r="G222" s="16" t="str">
        <x:v>Previously flagged preference/marketing language was eliminated in management review. No verified material defect remains for this diagnostic item; no writer penalty.</x:v>
      </x:c>
      <x:c r="H222" s="16"/>
      <x:c r="I222" s="16" t="str">
        <x:v>L255-L402 · https://print247.us/post/christmas-candy-box-ideas</x:v>
      </x:c>
    </x:row>
    <x:row r="223" ht="38" customHeight="1">
      <x:c r="A223" s="16" t="n">
        <x:v>5</x:v>
      </x:c>
      <x:c r="B223" s="16" t="str">
        <x:v>Christmas candy boxes</x:v>
      </x:c>
      <x:c r="C223" s="16" t="str">
        <x:v>1-3</x:v>
      </x:c>
      <x:c r="D223" s="16" t="str">
        <x:v>Factual Accuracy &amp; Research</x:v>
      </x:c>
      <x:c r="E223" s="16" t="str">
        <x:v>The content contains no misleading or contradictory claims.</x:v>
      </x:c>
      <x:c r="F223" s="16" t="str">
        <x:v>ACCEPTABLE</x:v>
      </x:c>
      <x:c r="G223" s="16" t="str">
        <x:v>Previously flagged preference/marketing language was eliminated in management review. No verified material defect remains for this diagnostic item; no writer penalty.</x:v>
      </x:c>
      <x:c r="H223" s="16"/>
      <x:c r="I223" s="16" t="str">
        <x:v>L255-L402 · https://print247.us/post/christmas-candy-box-ideas</x:v>
      </x:c>
    </x:row>
    <x:row r="224" ht="38" customHeight="1">
      <x:c r="A224" s="16" t="n">
        <x:v>5</x:v>
      </x:c>
      <x:c r="B224" s="16" t="str">
        <x:v>Christmas candy boxes</x:v>
      </x:c>
      <x:c r="C224" s="16" t="str">
        <x:v>1-4</x:v>
      </x:c>
      <x:c r="D224" s="16" t="str">
        <x:v>Factual Accuracy &amp; Research</x:v>
      </x:c>
      <x:c r="E224" s="16" t="str">
        <x:v>Explanations demonstrate genuine subject-matter understanding.</x:v>
      </x:c>
      <x:c r="F224" s="16" t="str">
        <x:v>PASS</x:v>
      </x:c>
      <x:c r="G224" s="16" t="str">
        <x:v>The packaging categories are credible, but absolute precision and nationwide delivery assurances are not adequately conditioned.</x:v>
      </x:c>
      <x:c r="H224" s="16"/>
      <x:c r="I224" s="16" t="str">
        <x:v>L255-L402 · https://print247.us/post/christmas-candy-box-ideas</x:v>
      </x:c>
    </x:row>
    <x:row r="225" ht="38" customHeight="1">
      <x:c r="A225" s="16" t="n">
        <x:v>5</x:v>
      </x:c>
      <x:c r="B225" s="16" t="str">
        <x:v>Christmas candy boxes</x:v>
      </x:c>
      <x:c r="C225" s="16" t="str">
        <x:v>1-5</x:v>
      </x:c>
      <x:c r="D225" s="16" t="str">
        <x:v>Factual Accuracy &amp; Research</x:v>
      </x:c>
      <x:c r="E225" s="16" t="str">
        <x:v>The information is relevant and accurate for US B2B buyers.</x:v>
      </x:c>
      <x:c r="F225" s="16" t="str">
        <x:v>PASS</x:v>
      </x:c>
      <x:c r="G225" s="16" t="str">
        <x:v>The packaging categories are credible, but absolute precision and nationwide delivery assurances are not adequately conditioned.</x:v>
      </x:c>
      <x:c r="H225" s="16"/>
      <x:c r="I225" s="16" t="str">
        <x:v>L255-L402 · https://print247.us/post/christmas-candy-box-ideas</x:v>
      </x:c>
    </x:row>
    <x:row r="226" ht="38" customHeight="1">
      <x:c r="A226" s="16" t="n">
        <x:v>5</x:v>
      </x:c>
      <x:c r="B226" s="16" t="str">
        <x:v>Christmas candy boxes</x:v>
      </x:c>
      <x:c r="C226" s="16" t="str">
        <x:v>2-0</x:v>
      </x:c>
      <x:c r="D226" s="16" t="str">
        <x:v>Semantic SEO &amp; Topical Coverage</x:v>
      </x:c>
      <x:c r="E226" s="16" t="str">
        <x:v>Important entities, attributes, and subtopics are covered.</x:v>
      </x:c>
      <x:c r="F226" s="16" t="str">
        <x:v>PASS</x:v>
      </x:c>
      <x:c r="G226" s="16" t="str">
        <x:v>Seven seasonal ideas, box styles, design tips, pitfalls and FAQs are relevant; food-contact guidance could be clearer.</x:v>
      </x:c>
      <x:c r="H226" s="16"/>
      <x:c r="I226" s="16" t="str">
        <x:v>L255-L402 · https://print247.us/post/christmas-candy-box-ideas</x:v>
      </x:c>
    </x:row>
    <x:row r="227" ht="38" customHeight="1">
      <x:c r="A227" s="16" t="n">
        <x:v>5</x:v>
      </x:c>
      <x:c r="B227" s="16" t="str">
        <x:v>Christmas candy boxes</x:v>
      </x:c>
      <x:c r="C227" s="16" t="str">
        <x:v>2-1</x:v>
      </x:c>
      <x:c r="D227" s="16" t="str">
        <x:v>Semantic SEO &amp; Topical Coverage</x:v>
      </x:c>
      <x:c r="E227" s="16" t="str">
        <x:v>The article explains meaningful relationships between concepts.</x:v>
      </x:c>
      <x:c r="F227" s="16" t="str">
        <x:v>PASS</x:v>
      </x:c>
      <x:c r="G227" s="16" t="str">
        <x:v>Seven seasonal ideas, box styles, design tips, pitfalls and FAQs are relevant; food-contact guidance could be clearer.</x:v>
      </x:c>
      <x:c r="H227" s="16"/>
      <x:c r="I227" s="16" t="str">
        <x:v>L255-L402 · https://print247.us/post/christmas-candy-box-ideas</x:v>
      </x:c>
    </x:row>
    <x:row r="228" ht="38" customHeight="1">
      <x:c r="A228" s="16" t="n">
        <x:v>5</x:v>
      </x:c>
      <x:c r="B228" s="16" t="str">
        <x:v>Christmas candy boxes</x:v>
      </x:c>
      <x:c r="C228" s="16" t="str">
        <x:v>2-2</x:v>
      </x:c>
      <x:c r="D228" s="16" t="str">
        <x:v>Semantic SEO &amp; Topical Coverage</x:v>
      </x:c>
      <x:c r="E228" s="16" t="str">
        <x:v>H2 and H3 headings follow a logical topical hierarchy.</x:v>
      </x:c>
      <x:c r="F228" s="16" t="str">
        <x:v>PASS</x:v>
      </x:c>
      <x:c r="G228" s="16" t="str">
        <x:v>Seven seasonal ideas, box styles, design tips, pitfalls and FAQs are relevant; food-contact guidance could be clearer.</x:v>
      </x:c>
      <x:c r="H228" s="16"/>
      <x:c r="I228" s="16" t="str">
        <x:v>L255-L402 · https://print247.us/post/christmas-candy-box-ideas</x:v>
      </x:c>
    </x:row>
    <x:row r="229" ht="38" customHeight="1">
      <x:c r="A229" s="16" t="n">
        <x:v>5</x:v>
      </x:c>
      <x:c r="B229" s="16" t="str">
        <x:v>Christmas candy boxes</x:v>
      </x:c>
      <x:c r="C229" s="16" t="str">
        <x:v>2-3</x:v>
      </x:c>
      <x:c r="D229" s="16" t="str">
        <x:v>Semantic SEO &amp; Topical Coverage</x:v>
      </x:c>
      <x:c r="E229" s="16" t="str">
        <x:v>Essential questions and decision factors are answered.</x:v>
      </x:c>
      <x:c r="F229" s="16" t="str">
        <x:v>NEEDS IMPROVEMENT</x:v>
      </x:c>
      <x:c r="G229" s="16" t="str">
        <x:v>The idea-focused article need not become a regulatory manual, but buyers should distinguish direct-food-contact from secondary retail packaging and verify materials for intended use.</x:v>
      </x:c>
      <x:c r="H229" s="16" t="str">
        <x:v>HB05-04</x:v>
      </x:c>
      <x:c r="I229" s="16" t="str">
        <x:v>L255-L402 · https://print247.us/post/christmas-candy-box-ideas</x:v>
      </x:c>
    </x:row>
    <x:row r="230" ht="38" customHeight="1">
      <x:c r="A230" s="16" t="n">
        <x:v>5</x:v>
      </x:c>
      <x:c r="B230" s="16" t="str">
        <x:v>Christmas candy boxes</x:v>
      </x:c>
      <x:c r="C230" s="16" t="str">
        <x:v>2-4</x:v>
      </x:c>
      <x:c r="D230" s="16" t="str">
        <x:v>Semantic SEO &amp; Topical Coverage</x:v>
      </x:c>
      <x:c r="E230" s="16" t="str">
        <x:v>There are no major topical gaps that prevent intent satisfaction.</x:v>
      </x:c>
      <x:c r="F230" s="16" t="str">
        <x:v>PASS</x:v>
      </x:c>
      <x:c r="G230" s="16" t="str">
        <x:v>Seven seasonal ideas, box styles, design tips, pitfalls and FAQs are relevant; food-contact guidance could be clearer.</x:v>
      </x:c>
      <x:c r="H230" s="16"/>
      <x:c r="I230" s="16" t="str">
        <x:v>L255-L402 · https://print247.us/post/christmas-candy-box-ideas</x:v>
      </x:c>
    </x:row>
    <x:row r="231" ht="38" customHeight="1">
      <x:c r="A231" s="16" t="n">
        <x:v>5</x:v>
      </x:c>
      <x:c r="B231" s="16" t="str">
        <x:v>Christmas candy boxes</x:v>
      </x:c>
      <x:c r="C231" s="16" t="str">
        <x:v>2-5</x:v>
      </x:c>
      <x:c r="D231" s="16" t="str">
        <x:v>Semantic SEO &amp; Topical Coverage</x:v>
      </x:c>
      <x:c r="E231" s="16" t="str">
        <x:v>Sections add distinct value instead of repeating the same information.</x:v>
      </x:c>
      <x:c r="F231" s="16" t="str">
        <x:v>ACCEPTABLE</x:v>
      </x:c>
      <x:c r="G231" s="16" t="str">
        <x:v>Seven seasonal ideas, box styles, design tips, pitfalls and FAQs are relevant; food-contact guidance could be clearer. This is an acceptable editorial choice or non-material limitation, with no standalone score penalty.</x:v>
      </x:c>
      <x:c r="H231" s="16"/>
      <x:c r="I231" s="16" t="str">
        <x:v>L255-L402 · https://print247.us/post/christmas-candy-box-ideas</x:v>
      </x:c>
    </x:row>
    <x:row r="232" ht="38" customHeight="1">
      <x:c r="A232" s="16" t="n">
        <x:v>5</x:v>
      </x:c>
      <x:c r="B232" s="16" t="str">
        <x:v>Christmas candy boxes</x:v>
      </x:c>
      <x:c r="C232" s="16" t="str">
        <x:v>3-0</x:v>
      </x:c>
      <x:c r="D232" s="16" t="str">
        <x:v>Originality &amp; Information Gain</x:v>
      </x:c>
      <x:c r="E232" s="16" t="str">
        <x:v>The article provides more than generic definitions or descriptions.</x:v>
      </x:c>
      <x:c r="F232" s="16" t="str">
        <x:v>PASS</x:v>
      </x:c>
      <x:c r="G232" s="16" t="str">
        <x:v>Packaging ideas and box styles are actionable, though direct food-contact guardrails warrant a short mention.</x:v>
      </x:c>
      <x:c r="H232" s="16"/>
      <x:c r="I232" s="16" t="str">
        <x:v>L255-L402 · https://print247.us/post/christmas-candy-box-ideas</x:v>
      </x:c>
    </x:row>
    <x:row r="233" ht="38" customHeight="1">
      <x:c r="A233" s="16" t="n">
        <x:v>5</x:v>
      </x:c>
      <x:c r="B233" s="16" t="str">
        <x:v>Christmas candy boxes</x:v>
      </x:c>
      <x:c r="C233" s="16" t="str">
        <x:v>3-1</x:v>
      </x:c>
      <x:c r="D233" s="16" t="str">
        <x:v>Originality &amp; Information Gain</x:v>
      </x:c>
      <x:c r="E233" s="16" t="str">
        <x:v>Practical examples or specific applications are included where useful.</x:v>
      </x:c>
      <x:c r="F233" s="16" t="str">
        <x:v>PASS</x:v>
      </x:c>
      <x:c r="G233" s="16" t="str">
        <x:v>Packaging ideas and box styles are actionable, though direct food-contact guardrails warrant a short mention.</x:v>
      </x:c>
      <x:c r="H233" s="16"/>
      <x:c r="I233" s="16" t="str">
        <x:v>L255-L402 · https://print247.us/post/christmas-candy-box-ideas</x:v>
      </x:c>
    </x:row>
    <x:row r="234" ht="38" customHeight="1">
      <x:c r="A234" s="16" t="n">
        <x:v>5</x:v>
      </x:c>
      <x:c r="B234" s="16" t="str">
        <x:v>Christmas candy boxes</x:v>
      </x:c>
      <x:c r="C234" s="16" t="str">
        <x:v>3-2</x:v>
      </x:c>
      <x:c r="D234" s="16" t="str">
        <x:v>Originality &amp; Information Gain</x:v>
      </x:c>
      <x:c r="E234" s="16" t="str">
        <x:v>Readers receive actionable advice or decision-making guidance.</x:v>
      </x:c>
      <x:c r="F234" s="16" t="str">
        <x:v>PASS</x:v>
      </x:c>
      <x:c r="G234" s="16" t="str">
        <x:v>Packaging ideas and box styles are actionable, though direct food-contact guardrails warrant a short mention.</x:v>
      </x:c>
      <x:c r="H234" s="16"/>
      <x:c r="I234" s="16" t="str">
        <x:v>L255-L402 · https://print247.us/post/christmas-candy-box-ideas</x:v>
      </x:c>
    </x:row>
    <x:row r="235" ht="38" customHeight="1">
      <x:c r="A235" s="16" t="n">
        <x:v>5</x:v>
      </x:c>
      <x:c r="B235" s="16" t="str">
        <x:v>Christmas candy boxes</x:v>
      </x:c>
      <x:c r="C235" s="16" t="str">
        <x:v>3-3</x:v>
      </x:c>
      <x:c r="D235" s="16" t="str">
        <x:v>Originality &amp; Information Gain</x:v>
      </x:c>
      <x:c r="E235" s="16" t="str">
        <x:v>Useful comparisons, specifications, or trade-offs are explained.</x:v>
      </x:c>
      <x:c r="F235" s="16" t="str">
        <x:v>NEEDS IMPROVEMENT</x:v>
      </x:c>
      <x:c r="G235" s="16" t="str">
        <x:v>The idea-focused article need not become a regulatory manual, but buyers should distinguish direct-food-contact from secondary retail packaging and verify materials for intended use.</x:v>
      </x:c>
      <x:c r="H235" s="16" t="str">
        <x:v>HB05-04</x:v>
      </x:c>
      <x:c r="I235" s="16" t="str">
        <x:v>L255-L402 · https://print247.us/post/christmas-candy-box-ideas</x:v>
      </x:c>
    </x:row>
    <x:row r="236" ht="38" customHeight="1">
      <x:c r="A236" s="16" t="n">
        <x:v>5</x:v>
      </x:c>
      <x:c r="B236" s="16" t="str">
        <x:v>Christmas candy boxes</x:v>
      </x:c>
      <x:c r="C236" s="16" t="str">
        <x:v>3-4</x:v>
      </x:c>
      <x:c r="D236" s="16" t="str">
        <x:v>Originality &amp; Information Gain</x:v>
      </x:c>
      <x:c r="E236" s="16" t="str">
        <x:v>The content offers insights relevant to real packaging purchasing decisions.</x:v>
      </x:c>
      <x:c r="F236" s="16" t="str">
        <x:v>PASS</x:v>
      </x:c>
      <x:c r="G236" s="16" t="str">
        <x:v>Packaging ideas and box styles are actionable, though direct food-contact guardrails warrant a short mention.</x:v>
      </x:c>
      <x:c r="H236" s="16"/>
      <x:c r="I236" s="16" t="str">
        <x:v>L255-L402 · https://print247.us/post/christmas-candy-box-ideas</x:v>
      </x:c>
    </x:row>
    <x:row r="237" ht="38" customHeight="1">
      <x:c r="A237" s="16" t="n">
        <x:v>5</x:v>
      </x:c>
      <x:c r="B237" s="16" t="str">
        <x:v>Christmas candy boxes</x:v>
      </x:c>
      <x:c r="C237" s="16" t="str">
        <x:v>3-5</x:v>
      </x:c>
      <x:c r="D237" s="16" t="str">
        <x:v>Originality &amp; Information Gain</x:v>
      </x:c>
      <x:c r="E237" s="16" t="str">
        <x:v>There is no evident substantial duplication or unattributed copying.</x:v>
      </x:c>
      <x:c r="F237" s="16" t="str">
        <x:v>NOT VERIFIED</x:v>
      </x:c>
      <x:c r="G237" s="16" t="str">
        <x:v>External copying/originality against third-party sources was not checked.</x:v>
      </x:c>
      <x:c r="H237" s="16"/>
      <x:c r="I237" s="16" t="str">
        <x:v>L255-L402 · https://print247.us/post/christmas-candy-box-ideas</x:v>
      </x:c>
    </x:row>
    <x:row r="238" ht="38" customHeight="1">
      <x:c r="A238" s="16" t="n">
        <x:v>5</x:v>
      </x:c>
      <x:c r="B238" s="16" t="str">
        <x:v>Christmas candy boxes</x:v>
      </x:c>
      <x:c r="C238" s="16" t="str">
        <x:v>4-0</x:v>
      </x:c>
      <x:c r="D238" s="16" t="str">
        <x:v>Structure &amp; Readability</x:v>
      </x:c>
      <x:c r="E238" s="16" t="str">
        <x:v>The introduction is concise and relevant.</x:v>
      </x:c>
      <x:c r="F238" s="16" t="str">
        <x:v>ACCEPTABLE</x:v>
      </x:c>
      <x:c r="G238" s="16" t="str">
        <x:v>Ideas → box styles → design practices → pitfalls → CTA is logical; promotional ending needs qualification. This is an acceptable editorial choice or non-material limitation, with no standalone score penalty.</x:v>
      </x:c>
      <x:c r="H238" s="16"/>
      <x:c r="I238" s="16" t="str">
        <x:v>L230-L255 · https://print247.us/post/christmas-candy-box-ideas</x:v>
      </x:c>
    </x:row>
    <x:row r="239" ht="38" customHeight="1">
      <x:c r="A239" s="16" t="n">
        <x:v>5</x:v>
      </x:c>
      <x:c r="B239" s="16" t="str">
        <x:v>Christmas candy boxes</x:v>
      </x:c>
      <x:c r="C239" s="16" t="str">
        <x:v>4-1</x:v>
      </x:c>
      <x:c r="D239" s="16" t="str">
        <x:v>Structure &amp; Readability</x:v>
      </x:c>
      <x:c r="E239" s="16" t="str">
        <x:v>Headings are descriptive, clear, and logically organized.</x:v>
      </x:c>
      <x:c r="F239" s="16" t="str">
        <x:v>PASS</x:v>
      </x:c>
      <x:c r="G239" s="16" t="str">
        <x:v>Ideas → box styles → design practices → pitfalls → CTA is logical; promotional ending needs qualification.</x:v>
      </x:c>
      <x:c r="H239" s="16"/>
      <x:c r="I239" s="16" t="str">
        <x:v>L230-L255 · https://print247.us/post/christmas-candy-box-ideas</x:v>
      </x:c>
    </x:row>
    <x:row r="240" ht="38" customHeight="1">
      <x:c r="A240" s="16" t="n">
        <x:v>5</x:v>
      </x:c>
      <x:c r="B240" s="16" t="str">
        <x:v>Christmas candy boxes</x:v>
      </x:c>
      <x:c r="C240" s="16" t="str">
        <x:v>4-2</x:v>
      </x:c>
      <x:c r="D240" s="16" t="str">
        <x:v>Structure &amp; Readability</x:v>
      </x:c>
      <x:c r="E240" s="16" t="str">
        <x:v>Paragraphs and sentences are easy to follow.</x:v>
      </x:c>
      <x:c r="F240" s="16" t="str">
        <x:v>PASS</x:v>
      </x:c>
      <x:c r="G240" s="16" t="str">
        <x:v>Ideas → box styles → design practices → pitfalls → CTA is logical; promotional ending needs qualification.</x:v>
      </x:c>
      <x:c r="H240" s="16"/>
      <x:c r="I240" s="16" t="str">
        <x:v>L230-L255 · https://print247.us/post/christmas-candy-box-ideas</x:v>
      </x:c>
    </x:row>
    <x:row r="241" ht="38" customHeight="1">
      <x:c r="A241" s="16" t="n">
        <x:v>5</x:v>
      </x:c>
      <x:c r="B241" s="16" t="str">
        <x:v>Christmas candy boxes</x:v>
      </x:c>
      <x:c r="C241" s="16" t="str">
        <x:v>4-3</x:v>
      </x:c>
      <x:c r="D241" s="16" t="str">
        <x:v>Structure &amp; Readability</x:v>
      </x:c>
      <x:c r="E241" s="16" t="str">
        <x:v>The article progresses logically without unnecessary repetition.</x:v>
      </x:c>
      <x:c r="F241" s="16" t="str">
        <x:v>ACCEPTABLE</x:v>
      </x:c>
      <x:c r="G241" s="16" t="str">
        <x:v>Ideas → box styles → design practices → pitfalls → CTA is logical; promotional ending needs qualification. This is an acceptable editorial choice or non-material limitation, with no standalone score penalty.</x:v>
      </x:c>
      <x:c r="H241" s="16"/>
      <x:c r="I241" s="16" t="str">
        <x:v>L230-L255 · https://print247.us/post/christmas-candy-box-ideas</x:v>
      </x:c>
    </x:row>
    <x:row r="242" ht="38" customHeight="1">
      <x:c r="A242" s="16" t="n">
        <x:v>5</x:v>
      </x:c>
      <x:c r="B242" s="16" t="str">
        <x:v>Christmas candy boxes</x:v>
      </x:c>
      <x:c r="C242" s="16" t="str">
        <x:v>4-4</x:v>
      </x:c>
      <x:c r="D242" s="16" t="str">
        <x:v>Structure &amp; Readability</x:v>
      </x:c>
      <x:c r="E242" s="16" t="str">
        <x:v>Tables, lists, and examples improve understanding where appropriate.</x:v>
      </x:c>
      <x:c r="F242" s="16" t="str">
        <x:v>PASS</x:v>
      </x:c>
      <x:c r="G242" s="16" t="str">
        <x:v>Ideas → box styles → design practices → pitfalls → CTA is logical; promotional ending needs qualification.</x:v>
      </x:c>
      <x:c r="H242" s="16"/>
      <x:c r="I242" s="16" t="str">
        <x:v>L230-L255 · https://print247.us/post/christmas-candy-box-ideas</x:v>
      </x:c>
    </x:row>
    <x:row r="243" ht="38" customHeight="1">
      <x:c r="A243" s="16" t="n">
        <x:v>5</x:v>
      </x:c>
      <x:c r="B243" s="16" t="str">
        <x:v>Christmas candy boxes</x:v>
      </x:c>
      <x:c r="C243" s="16" t="str">
        <x:v>4-5</x:v>
      </x:c>
      <x:c r="D243" s="16" t="str">
        <x:v>Structure &amp; Readability</x:v>
      </x:c>
      <x:c r="E243" s="16" t="str">
        <x:v>The conclusion summarizes useful takeaways or next steps.</x:v>
      </x:c>
      <x:c r="F243" s="16" t="str">
        <x:v>PASS</x:v>
      </x:c>
      <x:c r="G243" s="16" t="str">
        <x:v>Ideas → box styles → design practices → pitfalls → CTA is logical; promotional ending needs qualification.</x:v>
      </x:c>
      <x:c r="H243" s="16"/>
      <x:c r="I243" s="16" t="str">
        <x:v>L230-L255 · https://print247.us/post/christmas-candy-box-ideas</x:v>
      </x:c>
    </x:row>
    <x:row r="244" ht="38" customHeight="1">
      <x:c r="A244" s="16" t="n">
        <x:v>5</x:v>
      </x:c>
      <x:c r="B244" s="16" t="str">
        <x:v>Christmas candy boxes</x:v>
      </x:c>
      <x:c r="C244" s="16" t="str">
        <x:v>5-0</x:v>
      </x:c>
      <x:c r="D244" s="16" t="str">
        <x:v>Keyword Integration</x:v>
      </x:c>
      <x:c r="E244" s="16" t="str">
        <x:v>The primary keyword is used naturally in relevant locations.</x:v>
      </x:c>
      <x:c r="F244" s="16" t="str">
        <x:v>PASS</x:v>
      </x:c>
      <x:c r="G244" s="16" t="str">
        <x:v>The terms Christmas candy boxes, gable, rigid, foil, window, gift box and product labels support the topic.</x:v>
      </x:c>
      <x:c r="H244" s="16"/>
      <x:c r="I244" s="16" t="str">
        <x:v>L255-L402 · https://print247.us/post/christmas-candy-box-ideas</x:v>
      </x:c>
    </x:row>
    <x:row r="245" ht="38" customHeight="1">
      <x:c r="A245" s="16" t="n">
        <x:v>5</x:v>
      </x:c>
      <x:c r="B245" s="16" t="str">
        <x:v>Christmas candy boxes</x:v>
      </x:c>
      <x:c r="C245" s="16" t="str">
        <x:v>5-1</x:v>
      </x:c>
      <x:c r="D245" s="16" t="str">
        <x:v>Keyword Integration</x:v>
      </x:c>
      <x:c r="E245" s="16" t="str">
        <x:v>Supporting terms and variations fit the article’s context.</x:v>
      </x:c>
      <x:c r="F245" s="16" t="str">
        <x:v>PASS</x:v>
      </x:c>
      <x:c r="G245" s="16" t="str">
        <x:v>The terms Christmas candy boxes, gable, rigid, foil, window, gift box and product labels support the topic.</x:v>
      </x:c>
      <x:c r="H245" s="16"/>
      <x:c r="I245" s="16" t="str">
        <x:v>L255-L402 · https://print247.us/post/christmas-candy-box-ideas</x:v>
      </x:c>
    </x:row>
    <x:row r="246" ht="38" customHeight="1">
      <x:c r="A246" s="16" t="n">
        <x:v>5</x:v>
      </x:c>
      <x:c r="B246" s="16" t="str">
        <x:v>Christmas candy boxes</x:v>
      </x:c>
      <x:c r="C246" s="16" t="str">
        <x:v>5-2</x:v>
      </x:c>
      <x:c r="D246" s="16" t="str">
        <x:v>Keyword Integration</x:v>
      </x:c>
      <x:c r="E246" s="16" t="str">
        <x:v>Headings are descriptive rather than keyword-stuffed.</x:v>
      </x:c>
      <x:c r="F246" s="16" t="str">
        <x:v>PASS</x:v>
      </x:c>
      <x:c r="G246" s="16" t="str">
        <x:v>The terms Christmas candy boxes, gable, rigid, foil, window, gift box and product labels support the topic.</x:v>
      </x:c>
      <x:c r="H246" s="16"/>
      <x:c r="I246" s="16" t="str">
        <x:v>L255-L402 · https://print247.us/post/christmas-candy-box-ideas</x:v>
      </x:c>
    </x:row>
    <x:row r="247" ht="38" customHeight="1">
      <x:c r="A247" s="16" t="n">
        <x:v>5</x:v>
      </x:c>
      <x:c r="B247" s="16" t="str">
        <x:v>Christmas candy boxes</x:v>
      </x:c>
      <x:c r="C247" s="16" t="str">
        <x:v>5-3</x:v>
      </x:c>
      <x:c r="D247" s="16" t="str">
        <x:v>Keyword Integration</x:v>
      </x:c>
      <x:c r="E247" s="16" t="str">
        <x:v>There is no excessive exact-match keyword repetition.</x:v>
      </x:c>
      <x:c r="F247" s="16" t="str">
        <x:v>PASS</x:v>
      </x:c>
      <x:c r="G247" s="16" t="str">
        <x:v>The terms Christmas candy boxes, gable, rigid, foil, window, gift box and product labels support the topic.</x:v>
      </x:c>
      <x:c r="H247" s="16"/>
      <x:c r="I247" s="16" t="str">
        <x:v>L255-L402 · https://print247.us/post/christmas-candy-box-ideas</x:v>
      </x:c>
    </x:row>
    <x:row r="248" ht="38" customHeight="1">
      <x:c r="A248" s="16" t="n">
        <x:v>5</x:v>
      </x:c>
      <x:c r="B248" s="16" t="str">
        <x:v>Christmas candy boxes</x:v>
      </x:c>
      <x:c r="C248" s="16" t="str">
        <x:v>5-4</x:v>
      </x:c>
      <x:c r="D248" s="16" t="str">
        <x:v>Keyword Integration</x:v>
      </x:c>
      <x:c r="E248" s="16" t="str">
        <x:v>The article consistently addresses one coherent primary intent.</x:v>
      </x:c>
      <x:c r="F248" s="16" t="str">
        <x:v>PASS</x:v>
      </x:c>
      <x:c r="G248" s="16" t="str">
        <x:v>The terms Christmas candy boxes, gable, rigid, foil, window, gift box and product labels support the topic.</x:v>
      </x:c>
      <x:c r="H248" s="16"/>
      <x:c r="I248" s="16" t="str">
        <x:v>L255-L402 · https://print247.us/post/christmas-candy-box-ideas</x:v>
      </x:c>
    </x:row>
    <x:row r="249" ht="38" customHeight="1">
      <x:c r="A249" s="16" t="n">
        <x:v>5</x:v>
      </x:c>
      <x:c r="B249" s="16" t="str">
        <x:v>Christmas candy boxes</x:v>
      </x:c>
      <x:c r="C249" s="16" t="str">
        <x:v>6-0</x:v>
      </x:c>
      <x:c r="D249" s="16" t="str">
        <x:v>B2B Audience &amp; Commercial Alignment</x:v>
      </x:c>
      <x:c r="E249" s="16" t="str">
        <x:v>The intended business buyer is clearly identifiable.</x:v>
      </x:c>
      <x:c r="F249" s="16" t="str">
        <x:v>PASS</x:v>
      </x:c>
      <x:c r="G249" s="16" t="str">
        <x:v>Gift retailers and candy sellers gain practical ideas and packaging format advice; food-contact use merits a caution.</x:v>
      </x:c>
      <x:c r="H249" s="16"/>
      <x:c r="I249" s="16" t="str">
        <x:v>L380-L411 · https://print247.us/post/christmas-candy-box-ideas</x:v>
      </x:c>
    </x:row>
    <x:row r="250" ht="38" customHeight="1">
      <x:c r="A250" s="16" t="n">
        <x:v>5</x:v>
      </x:c>
      <x:c r="B250" s="16" t="str">
        <x:v>Christmas candy boxes</x:v>
      </x:c>
      <x:c r="C250" s="16" t="str">
        <x:v>6-1</x:v>
      </x:c>
      <x:c r="D250" s="16" t="str">
        <x:v>B2B Audience &amp; Commercial Alignment</x:v>
      </x:c>
      <x:c r="E250" s="16" t="str">
        <x:v>The content addresses practical business or procurement needs.</x:v>
      </x:c>
      <x:c r="F250" s="16" t="str">
        <x:v>NEEDS IMPROVEMENT</x:v>
      </x:c>
      <x:c r="G250" s="16" t="str">
        <x:v>The idea-focused article need not become a regulatory manual, but buyers should distinguish direct-food-contact from secondary retail packaging and verify materials for intended use.</x:v>
      </x:c>
      <x:c r="H250" s="16" t="str">
        <x:v>HB05-04</x:v>
      </x:c>
      <x:c r="I250" s="16" t="str">
        <x:v>L380-L411 · https://print247.us/post/christmas-candy-box-ideas</x:v>
      </x:c>
    </x:row>
    <x:row r="251" ht="38" customHeight="1">
      <x:c r="A251" s="16" t="n">
        <x:v>5</x:v>
      </x:c>
      <x:c r="B251" s="16" t="str">
        <x:v>Christmas candy boxes</x:v>
      </x:c>
      <x:c r="C251" s="16" t="str">
        <x:v>6-2</x:v>
      </x:c>
      <x:c r="D251" s="16" t="str">
        <x:v>B2B Audience &amp; Commercial Alignment</x:v>
      </x:c>
      <x:c r="E251" s="16" t="str">
        <x:v>Relevant considerations such as MOQ, customization, materials, printing, or lead times are explained where appropriate.</x:v>
      </x:c>
      <x:c r="F251" s="16" t="str">
        <x:v>NEEDS IMPROVEMENT</x:v>
      </x:c>
      <x:c r="G251" s="16" t="str">
        <x:v>The idea-focused article need not become a regulatory manual, but buyers should distinguish direct-food-contact from secondary retail packaging and verify materials for intended use.</x:v>
      </x:c>
      <x:c r="H251" s="16" t="str">
        <x:v>HB05-04</x:v>
      </x:c>
      <x:c r="I251" s="16" t="str">
        <x:v>L380-L411 · https://print247.us/post/christmas-candy-box-ideas</x:v>
      </x:c>
    </x:row>
    <x:row r="252" ht="38" customHeight="1">
      <x:c r="A252" s="16" t="n">
        <x:v>5</x:v>
      </x:c>
      <x:c r="B252" s="16" t="str">
        <x:v>Christmas candy boxes</x:v>
      </x:c>
      <x:c r="C252" s="16" t="str">
        <x:v>6-3</x:v>
      </x:c>
      <x:c r="D252" s="16" t="str">
        <x:v>B2B Audience &amp; Commercial Alignment</x:v>
      </x:c>
      <x:c r="E252" s="16" t="str">
        <x:v>The content supports an informed product or packaging decision.</x:v>
      </x:c>
      <x:c r="F252" s="16" t="str">
        <x:v>PASS</x:v>
      </x:c>
      <x:c r="G252" s="16" t="str">
        <x:v>Gift retailers and candy sellers gain practical ideas and packaging format advice; food-contact use merits a caution.</x:v>
      </x:c>
      <x:c r="H252" s="16"/>
      <x:c r="I252" s="16" t="str">
        <x:v>L380-L411 · https://print247.us/post/christmas-candy-box-ideas</x:v>
      </x:c>
    </x:row>
    <x:row r="253" ht="38" customHeight="1">
      <x:c r="A253" s="16" t="n">
        <x:v>5</x:v>
      </x:c>
      <x:c r="B253" s="16" t="str">
        <x:v>Christmas candy boxes</x:v>
      </x:c>
      <x:c r="C253" s="16" t="str">
        <x:v>6-4</x:v>
      </x:c>
      <x:c r="D253" s="16" t="str">
        <x:v>B2B Audience &amp; Commercial Alignment</x:v>
      </x:c>
      <x:c r="E253" s="16" t="str">
        <x:v>Product or category references are contextually relevant.</x:v>
      </x:c>
      <x:c r="F253" s="16" t="str">
        <x:v>PASS</x:v>
      </x:c>
      <x:c r="G253" s="16" t="str">
        <x:v>Gift retailers and candy sellers gain practical ideas and packaging format advice; food-contact use merits a caution.</x:v>
      </x:c>
      <x:c r="H253" s="16"/>
      <x:c r="I253" s="16" t="str">
        <x:v>L380-L411 · https://print247.us/post/christmas-candy-box-ideas</x:v>
      </x:c>
    </x:row>
    <x:row r="254" ht="38" customHeight="1">
      <x:c r="A254" s="16" t="n">
        <x:v>5</x:v>
      </x:c>
      <x:c r="B254" s="16" t="str">
        <x:v>Christmas candy boxes</x:v>
      </x:c>
      <x:c r="C254" s="16" t="str">
        <x:v>6-5</x:v>
      </x:c>
      <x:c r="D254" s="16" t="str">
        <x:v>B2B Audience &amp; Commercial Alignment</x:v>
      </x:c>
      <x:c r="E254" s="16" t="str">
        <x:v>Commercial calls to action are helpful and appropriate to the article’s intent.</x:v>
      </x:c>
      <x:c r="F254" s="16" t="str">
        <x:v>PASS</x:v>
      </x:c>
      <x:c r="G254" s="16" t="str">
        <x:v>Gift retailers and candy sellers gain practical ideas and packaging format advice; food-contact use merits a caution.</x:v>
      </x:c>
      <x:c r="H254" s="16"/>
      <x:c r="I254" s="16" t="str">
        <x:v>L380-L411 · https://print247.us/post/christmas-candy-box-ideas</x:v>
      </x:c>
    </x:row>
    <x:row r="255" ht="38" customHeight="1">
      <x:c r="A255" s="16" t="n">
        <x:v>5</x:v>
      </x:c>
      <x:c r="B255" s="16" t="str">
        <x:v>Christmas candy boxes</x:v>
      </x:c>
      <x:c r="C255" s="16" t="str">
        <x:v>7-0</x:v>
      </x:c>
      <x:c r="D255" s="16" t="str">
        <x:v>Internal Linking</x:v>
      </x:c>
      <x:c r="E255" s="16" t="str">
        <x:v>Relevant internal links are included where useful.</x:v>
      </x:c>
      <x:c r="F255" s="16" t="str">
        <x:v>PASS</x:v>
      </x:c>
      <x:c r="G255" s="16" t="str">
        <x:v>Links connect gable boxes, window boxes, rigid and sleeve formats; HTTP destination behavior not independently tested.</x:v>
      </x:c>
      <x:c r="H255" s="16"/>
      <x:c r="I255" s="16" t="str">
        <x:v>L255-L402 · https://print247.us/post/christmas-candy-box-ideas</x:v>
      </x:c>
    </x:row>
    <x:row r="256" ht="38" customHeight="1">
      <x:c r="A256" s="16" t="n">
        <x:v>5</x:v>
      </x:c>
      <x:c r="B256" s="16" t="str">
        <x:v>Christmas candy boxes</x:v>
      </x:c>
      <x:c r="C256" s="16" t="str">
        <x:v>7-1</x:v>
      </x:c>
      <x:c r="D256" s="16" t="str">
        <x:v>Internal Linking</x:v>
      </x:c>
      <x:c r="E256" s="16" t="str">
        <x:v>Anchor text clearly describes the destination.</x:v>
      </x:c>
      <x:c r="F256" s="16" t="str">
        <x:v>PASS</x:v>
      </x:c>
      <x:c r="G256" s="16" t="str">
        <x:v>Links connect gable boxes, window boxes, rigid and sleeve formats; HTTP destination behavior not independently tested.</x:v>
      </x:c>
      <x:c r="H256" s="16"/>
      <x:c r="I256" s="16" t="str">
        <x:v>L255-L402 · https://print247.us/post/christmas-candy-box-ideas</x:v>
      </x:c>
    </x:row>
    <x:row r="257" ht="38" customHeight="1">
      <x:c r="A257" s="16" t="n">
        <x:v>5</x:v>
      </x:c>
      <x:c r="B257" s="16" t="str">
        <x:v>Christmas candy boxes</x:v>
      </x:c>
      <x:c r="C257" s="16" t="str">
        <x:v>7-2</x:v>
      </x:c>
      <x:c r="D257" s="16" t="str">
        <x:v>Internal Linking</x:v>
      </x:c>
      <x:c r="E257" s="16" t="str">
        <x:v>Linked product, category, or informational pages are contextually relevant.</x:v>
      </x:c>
      <x:c r="F257" s="16" t="str">
        <x:v>PASS</x:v>
      </x:c>
      <x:c r="G257" s="16" t="str">
        <x:v>Links connect gable boxes, window boxes, rigid and sleeve formats; HTTP destination behavior not independently tested.</x:v>
      </x:c>
      <x:c r="H257" s="16"/>
      <x:c r="I257" s="16" t="str">
        <x:v>L255-L402 · https://print247.us/post/christmas-candy-box-ideas</x:v>
      </x:c>
    </x:row>
    <x:row r="258" ht="38" customHeight="1">
      <x:c r="A258" s="16" t="n">
        <x:v>5</x:v>
      </x:c>
      <x:c r="B258" s="16" t="str">
        <x:v>Christmas candy boxes</x:v>
      </x:c>
      <x:c r="C258" s="16" t="str">
        <x:v>7-3</x:v>
      </x:c>
      <x:c r="D258" s="16" t="str">
        <x:v>Internal Linking</x:v>
      </x:c>
      <x:c r="E258" s="16" t="str">
        <x:v>Links lead to appropriate working destinations.</x:v>
      </x:c>
      <x:c r="F258" s="16" t="str">
        <x:v>NOT VERIFIED</x:v>
      </x:c>
      <x:c r="G258" s="16" t="str">
        <x:v>Link HTTP resolution, redirects, indexability and exhaustive alternate destinations were not independently tested.</x:v>
      </x:c>
      <x:c r="H258" s="16"/>
      <x:c r="I258" s="16" t="str">
        <x:v>L255-L402 · https://print247.us/post/christmas-candy-box-ideas</x:v>
      </x:c>
    </x:row>
    <x:row r="259" ht="38" customHeight="1">
      <x:c r="A259" s="16" t="n">
        <x:v>5</x:v>
      </x:c>
      <x:c r="B259" s="16" t="str">
        <x:v>Christmas candy boxes</x:v>
      </x:c>
      <x:c r="C259" s="16" t="str">
        <x:v>7-4</x:v>
      </x:c>
      <x:c r="D259" s="16" t="str">
        <x:v>Internal Linking</x:v>
      </x:c>
      <x:c r="E259" s="16" t="str">
        <x:v>Important natural internal linking opportunities are not overlooked.</x:v>
      </x:c>
      <x:c r="F259" s="16" t="str">
        <x:v>NOT VERIFIED</x:v>
      </x:c>
      <x:c r="G259" s="16" t="str">
        <x:v>Link HTTP resolution, redirects, indexability and exhaustive alternate destinations were not independently tested.</x:v>
      </x:c>
      <x:c r="H259" s="16"/>
      <x:c r="I259" s="16" t="str">
        <x:v>L255-L402 · https://print247.us/post/christmas-candy-box-ideas</x:v>
      </x:c>
    </x:row>
    <x:row r="260" ht="38" customHeight="1">
      <x:c r="A260" s="16" t="n">
        <x:v>5</x:v>
      </x:c>
      <x:c r="B260" s="16" t="str">
        <x:v>Christmas candy boxes</x:v>
      </x:c>
      <x:c r="C260" s="16" t="str">
        <x:v>8-0</x:v>
      </x:c>
      <x:c r="D260" s="16" t="str">
        <x:v>Grammar &amp; Editorial Quality</x:v>
      </x:c>
      <x:c r="E260" s="16" t="str">
        <x:v>Grammar, spelling, and punctuation are correct.</x:v>
      </x:c>
      <x:c r="F260" s="16" t="str">
        <x:v>ACCEPTABLE</x:v>
      </x:c>
      <x:c r="G260" s="16" t="str">
        <x:v>Creative holiday vocabulary is suitable for ideation; strong outcome promises and awkward guarantee copy require revision. This is an acceptable editorial choice or non-material limitation, with no standalone score penalty.</x:v>
      </x:c>
      <x:c r="H260" s="16"/>
      <x:c r="I260" s="16" t="str">
        <x:v>L402-L422 · https://print247.us/post/christmas-candy-box-ideas</x:v>
      </x:c>
    </x:row>
    <x:row r="261" ht="38" customHeight="1">
      <x:c r="A261" s="16" t="n">
        <x:v>5</x:v>
      </x:c>
      <x:c r="B261" s="16" t="str">
        <x:v>Christmas candy boxes</x:v>
      </x:c>
      <x:c r="C261" s="16" t="str">
        <x:v>8-1</x:v>
      </x:c>
      <x:c r="D261" s="16" t="str">
        <x:v>Grammar &amp; Editorial Quality</x:v>
      </x:c>
      <x:c r="E261" s="16" t="str">
        <x:v>American English conventions are applied consistently.</x:v>
      </x:c>
      <x:c r="F261" s="16" t="str">
        <x:v>PASS</x:v>
      </x:c>
      <x:c r="G261" s="16" t="str">
        <x:v>Creative holiday vocabulary is suitable for ideation; strong outcome promises and awkward guarantee copy require revision.</x:v>
      </x:c>
      <x:c r="H261" s="16"/>
      <x:c r="I261" s="16" t="str">
        <x:v>L402-L422 · https://print247.us/post/christmas-candy-box-ideas</x:v>
      </x:c>
    </x:row>
    <x:row r="262" ht="38" customHeight="1">
      <x:c r="A262" s="16" t="n">
        <x:v>5</x:v>
      </x:c>
      <x:c r="B262" s="16" t="str">
        <x:v>Christmas candy boxes</x:v>
      </x:c>
      <x:c r="C262" s="16" t="str">
        <x:v>8-2</x:v>
      </x:c>
      <x:c r="D262" s="16" t="str">
        <x:v>Grammar &amp; Editorial Quality</x:v>
      </x:c>
      <x:c r="E262" s="16" t="str">
        <x:v>Sentences sound natural and professional.</x:v>
      </x:c>
      <x:c r="F262" s="16" t="str">
        <x:v>NEEDS IMPROVEMENT</x:v>
      </x:c>
      <x:c r="G262" s="16" t="str">
        <x:v>An outcome guarantee distracts from otherwise useful design advice; isolated punctuation and colorful adjectives alone are not penalized.</x:v>
      </x:c>
      <x:c r="H262" s="16" t="str">
        <x:v>HB05-05</x:v>
      </x:c>
      <x:c r="I262" s="16" t="str">
        <x:v>L402-L422 · https://print247.us/post/christmas-candy-box-ideas</x:v>
      </x:c>
    </x:row>
    <x:row r="263" ht="38" customHeight="1">
      <x:c r="A263" s="16" t="n">
        <x:v>5</x:v>
      </x:c>
      <x:c r="B263" s="16" t="str">
        <x:v>Christmas candy boxes</x:v>
      </x:c>
      <x:c r="C263" s="16" t="str">
        <x:v>8-3</x:v>
      </x:c>
      <x:c r="D263" s="16" t="str">
        <x:v>Grammar &amp; Editorial Quality</x:v>
      </x:c>
      <x:c r="E263" s="16" t="str">
        <x:v>Terminology and brand voice remain consistent.</x:v>
      </x:c>
      <x:c r="F263" s="16" t="str">
        <x:v>ACCEPTABLE</x:v>
      </x:c>
      <x:c r="G263" s="16" t="str">
        <x:v>Creative holiday vocabulary is suitable for ideation; strong outcome promises and awkward guarantee copy require revision. This is an acceptable editorial choice or non-material limitation, with no standalone score penalty.</x:v>
      </x:c>
      <x:c r="H263" s="16"/>
      <x:c r="I263" s="16" t="str">
        <x:v>L402-L422 · https://print247.us/post/christmas-candy-box-ideas</x:v>
      </x:c>
    </x:row>
    <x:row r="264" ht="38" customHeight="1">
      <x:c r="A264" s="16" t="n">
        <x:v>5</x:v>
      </x:c>
      <x:c r="B264" s="16" t="str">
        <x:v>Christmas candy boxes</x:v>
      </x:c>
      <x:c r="C264" s="16" t="str">
        <x:v>8-4</x:v>
      </x:c>
      <x:c r="D264" s="16" t="str">
        <x:v>Grammar &amp; Editorial Quality</x:v>
      </x:c>
      <x:c r="E264" s="16" t="str">
        <x:v>Filler, awkward phrasing, and unnecessary repetition are minimized.</x:v>
      </x:c>
      <x:c r="F264" s="16" t="str">
        <x:v>ACCEPTABLE</x:v>
      </x:c>
      <x:c r="G264" s="16" t="str">
        <x:v>Creative holiday vocabulary is suitable for ideation; strong outcome promises and awkward guarantee copy require revision. This is an acceptable editorial choice or non-material limitation, with no standalone score penalty.</x:v>
      </x:c>
      <x:c r="H264" s="16"/>
      <x:c r="I264" s="16" t="str">
        <x:v>L402-L422 · https://print247.us/post/christmas-candy-box-ideas</x:v>
      </x:c>
    </x:row>
    <x:row r="265" ht="38" customHeight="1">
      <x:c r="A265" s="16" t="n">
        <x:v>5</x:v>
      </x:c>
      <x:c r="B265" s="16" t="str">
        <x:v>Christmas candy boxes</x:v>
      </x:c>
      <x:c r="C265" s="16" t="str">
        <x:v>8-5</x:v>
      </x:c>
      <x:c r="D265" s="16" t="str">
        <x:v>Grammar &amp; Editorial Quality</x:v>
      </x:c>
      <x:c r="E265" s="16" t="str">
        <x:v>Claims avoid exaggerated or unsupported promotional language.</x:v>
      </x:c>
      <x:c r="F265" s="16" t="str">
        <x:v>NEEDS IMPROVEMENT</x:v>
      </x:c>
      <x:c r="G265" s="16" t="str">
        <x:v>Guaranteeing exact precision on every manufactured unit is not defensible without an approved measurable tolerance, QC specification and contractual commitment. The promise omits ordering cutoff, production capacity, shipping carrier and destination conditions. A universal delivery guarantee requires documented service terms. These are plausible design suggestions, but no case study or controlled sales evidence establishes a sales lift. A writer can recommend without guaranteeing outcomes. An outcome guarantee distracts from otherwise useful design advice; isolated punctuation and colorful adjectives alone are not penalized.</x:v>
      </x:c>
      <x:c r="H265" s="16" t="str">
        <x:v>HB05-05</x:v>
      </x:c>
      <x:c r="I265" s="16" t="str">
        <x:v>L402-L422 · https://print247.us/post/christmas-candy-box-ideas</x:v>
      </x:c>
    </x:row>
  </x:sheetData>
  <x:pageMargins left="0.7" right="0.7" top="0.75" bottom="0.75" header="0.3" footer="0.3"/>
</x:worksheet>
</file>

<file path=xl/worksheets/sheet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5" hidden="0" customWidth="1"/>
    <x:col min="2" max="2" width="30" hidden="0" customWidth="1"/>
    <x:col min="3" max="3" width="109" hidden="0" customWidth="1"/>
    <x:col min="4" max="4" width="25" hidden="0" customWidth="1"/>
  </x:cols>
  <x:sheetData>
    <x:row r="1">
      <x:c r="A1" t="str">
        <x:v>Hassan · Verified Article Strengths</x:v>
      </x:c>
      <x:c r="B1"/>
      <x:c r="C1"/>
      <x:c r="D1"/>
    </x:row>
    <x:row r="2">
      <x:c r="A2"/>
      <x:c r="B2"/>
      <x:c r="C2"/>
      <x:c r="D2"/>
    </x:row>
    <x:row r="3">
      <x:c r="A3" t="str">
        <x:v>Article-specific strengths supported by published paragraphs.</x:v>
      </x:c>
      <x:c r="B3"/>
      <x:c r="C3"/>
      <x:c r="D3"/>
    </x:row>
    <x:row r="4">
      <x:c r="A4"/>
      <x:c r="B4"/>
      <x:c r="C4"/>
      <x:c r="D4"/>
    </x:row>
    <x:row r="5" ht="32" customHeight="1">
      <x:c r="A5" s="12" t="str">
        <x:v>Article #</x:v>
      </x:c>
      <x:c r="B5" s="12" t="str">
        <x:v>Article title</x:v>
      </x:c>
      <x:c r="C5" s="12" t="str">
        <x:v>Positive observation</x:v>
      </x:c>
      <x:c r="D5" s="12" t="str">
        <x:v>Source lines</x:v>
      </x:c>
    </x:row>
    <x:row r="6" ht="60" customHeight="1">
      <x:c r="A6" s="16" t="n">
        <x:v>1</x:v>
      </x:c>
      <x:c r="B6" s="16" t="str">
        <x:v>Dieline guide</x:v>
      </x:c>
      <x:c r="C6" s="16" t="str">
        <x:v>The introduction creates a relevant bridge from flat packaging layouts to the dieline definition.</x:v>
      </x:c>
      <x:c r="D6" s="16" t="str">
        <x:v>229-237</x:v>
      </x:c>
    </x:row>
    <x:row r="7" ht="60" customHeight="1">
      <x:c r="A7" s="16" t="n">
        <x:v>1</x:v>
      </x:c>
      <x:c r="B7" s="16" t="str">
        <x:v>Dieline guide</x:v>
      </x:c>
      <x:c r="C7" s="16" t="str">
        <x:v>Clearly explains cut, fold, bleed, safety, glue and perforation elements.</x:v>
      </x:c>
      <x:c r="D7" s="16" t="str">
        <x:v>239-265</x:v>
      </x:c>
    </x:row>
    <x:row r="8" ht="60" customHeight="1">
      <x:c r="A8" s="16" t="n">
        <x:v>1</x:v>
      </x:c>
      <x:c r="B8" s="16" t="str">
        <x:v>Dieline guide</x:v>
      </x:c>
      <x:c r="C8" s="16" t="str">
        <x:v>Includes step-by-step creation and a pre-approval checklist for business buyers.</x:v>
      </x:c>
      <x:c r="D8" s="16" t="str">
        <x:v>272-300;331-339</x:v>
      </x:c>
    </x:row>
    <x:row r="9" ht="60" customHeight="1">
      <x:c r="A9" s="16" t="n">
        <x:v>2</x:v>
      </x:c>
      <x:c r="B9" s="16" t="str">
        <x:v>Christmas finishing</x:v>
      </x:c>
      <x:c r="C9" s="16" t="str">
        <x:v>The article introduces four genuine surface-finishing families with useful visual effects.</x:v>
      </x:c>
      <x:c r="D9" s="16" t="str">
        <x:v>241-289</x:v>
      </x:c>
    </x:row>
    <x:row r="10" ht="60" customHeight="1">
      <x:c r="A10" s="16" t="n">
        <x:v>2</x:v>
      </x:c>
      <x:c r="B10" s="16" t="str">
        <x:v>Christmas finishing</x:v>
      </x:c>
      <x:c r="C10" s="16" t="str">
        <x:v>Connects foil, embossing and raised UV to particular branded design elements.</x:v>
      </x:c>
      <x:c r="D10" s="16" t="str">
        <x:v>249-289</x:v>
      </x:c>
    </x:row>
    <x:row r="11" ht="60" customHeight="1">
      <x:c r="A11" s="16" t="n">
        <x:v>2</x:v>
      </x:c>
      <x:c r="B11" s="16" t="str">
        <x:v>Christmas finishing</x:v>
      </x:c>
      <x:c r="C11" s="16" t="str">
        <x:v>Ends with a commercial brief prompting buyers to share quantities, budget and style.</x:v>
      </x:c>
      <x:c r="D11" s="16" t="str">
        <x:v>305-316</x:v>
      </x:c>
    </x:row>
    <x:row r="12" ht="60" customHeight="1">
      <x:c r="A12" s="16" t="n">
        <x:v>3</x:v>
      </x:c>
      <x:c r="B12" s="16" t="str">
        <x:v>Soap box packaging</x:v>
      </x:c>
      <x:c r="C12" s="16" t="str">
        <x:v>Covers eight distinct soap packaging structures, materials and uses.</x:v>
      </x:c>
      <x:c r="D12" s="16" t="str">
        <x:v>249-378</x:v>
      </x:c>
    </x:row>
    <x:row r="13" ht="60" customHeight="1">
      <x:c r="A13" s="16" t="n">
        <x:v>3</x:v>
      </x:c>
      <x:c r="B13" s="16" t="str">
        <x:v>Soap box packaging</x:v>
      </x:c>
      <x:c r="C13" s="16" t="str">
        <x:v>Explains material choices, personalization methods, and brand-positioning scenarios.</x:v>
      </x:c>
      <x:c r="D13" s="16" t="str">
        <x:v>379-514</x:v>
      </x:c>
    </x:row>
    <x:row r="14" ht="60" customHeight="1">
      <x:c r="A14" s="16" t="n">
        <x:v>3</x:v>
      </x:c>
      <x:c r="B14" s="16" t="str">
        <x:v>Soap box packaging</x:v>
      </x:c>
      <x:c r="C14" s="16" t="str">
        <x:v>Provides a five-step buyer-selection process and practical standardization advice.</x:v>
      </x:c>
      <x:c r="D14" s="16" t="str">
        <x:v>532-567</x:v>
      </x:c>
    </x:row>
    <x:row r="15" ht="60" customHeight="1">
      <x:c r="A15" s="16" t="n">
        <x:v>3</x:v>
      </x:c>
      <x:c r="B15" s="16" t="str">
        <x:v>Soap box packaging</x:v>
      </x:c>
      <x:c r="C15" s="16" t="str">
        <x:v>Market-size figures are linked and checked against the referenced report.</x:v>
      </x:c>
      <x:c r="D15" s="16" t="str">
        <x:v>234-235</x:v>
      </x:c>
    </x:row>
    <x:row r="16" ht="60" customHeight="1">
      <x:c r="A16" s="16" t="n">
        <x:v>4</x:v>
      </x:c>
      <x:c r="B16" s="16" t="str">
        <x:v>Small-business Christmas</x:v>
      </x:c>
      <x:c r="C16" s="16" t="str">
        <x:v>Specifically addresses small-business budget, cash-flow and seasonal inventory risk.</x:v>
      </x:c>
      <x:c r="D16" s="16" t="str">
        <x:v>229-240</x:v>
      </x:c>
    </x:row>
    <x:row r="17" ht="60" customHeight="1">
      <x:c r="A17" s="16" t="n">
        <x:v>4</x:v>
      </x:c>
      <x:c r="B17" s="16" t="str">
        <x:v>Small-business Christmas</x:v>
      </x:c>
      <x:c r="C17" s="16" t="str">
        <x:v>Practical advice to standardize 1–2 box sizes, use kraft wraps and adaptable seasonal accessories.</x:v>
      </x:c>
      <x:c r="D17" s="16" t="str">
        <x:v>241-280</x:v>
      </x:c>
    </x:row>
    <x:row r="18" ht="60" customHeight="1">
      <x:c r="A18" s="16" t="n">
        <x:v>4</x:v>
      </x:c>
      <x:c r="B18" s="16" t="str">
        <x:v>Small-business Christmas</x:v>
      </x:c>
      <x:c r="C18" s="16" t="str">
        <x:v>Includes illustrative unit-cost arithmetic, demand estimation and seasonal planning.</x:v>
      </x:c>
      <x:c r="D18" s="16" t="str">
        <x:v>281-319</x:v>
      </x:c>
    </x:row>
    <x:row r="19" ht="60" customHeight="1">
      <x:c r="A19" s="16" t="n">
        <x:v>5</x:v>
      </x:c>
      <x:c r="B19" s="16" t="str">
        <x:v>Christmas candy boxes</x:v>
      </x:c>
      <x:c r="C19" s="16" t="str">
        <x:v>Presents seven practical holiday packaging concepts with product-use examples.</x:v>
      </x:c>
      <x:c r="D19" s="16" t="str">
        <x:v>253-324</x:v>
      </x:c>
    </x:row>
    <x:row r="20" ht="60" customHeight="1">
      <x:c r="A20" s="16" t="n">
        <x:v>5</x:v>
      </x:c>
      <x:c r="B20" s="16" t="str">
        <x:v>Christmas candy boxes</x:v>
      </x:c>
      <x:c r="C20" s="16" t="str">
        <x:v>Distinguishes tuck-end, gable, rigid and sleeve-and-tray structures for different gifting needs.</x:v>
      </x:c>
      <x:c r="D20" s="16" t="str">
        <x:v>325-358</x:v>
      </x:c>
    </x:row>
    <x:row r="21" ht="60" customHeight="1">
      <x:c r="A21" s="16" t="n">
        <x:v>5</x:v>
      </x:c>
      <x:c r="B21" s="16" t="str">
        <x:v>Christmas candy boxes</x:v>
      </x:c>
      <x:c r="C21" s="16" t="str">
        <x:v>Includes concrete design pitfalls and pre-run testing advice.</x:v>
      </x:c>
      <x:c r="D21" s="16" t="str">
        <x:v>359-397</x:v>
      </x:c>
    </x:row>
  </x:sheetData>
  <x:pageMargins left="0.7" right="0.7" top="0.75" bottom="0.75" header="0.3" footer="0.3"/>
</x:worksheet>
</file>

<file path=xl/worksheets/sheet7.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7" hidden="0" customWidth="1"/>
    <x:col min="2" max="2" width="45" hidden="0" customWidth="1"/>
    <x:col min="3" max="3" width="25" hidden="0" customWidth="1"/>
    <x:col min="4" max="4" width="112" hidden="0" customWidth="1"/>
  </x:cols>
  <x:sheetData>
    <x:row r="1">
      <x:c r="A1" t="str">
        <x:v>Hassan · Personalized SEO Improvement Guide</x:v>
      </x:c>
      <x:c r="B1"/>
      <x:c r="C1"/>
      <x:c r="D1"/>
    </x:row>
    <x:row r="2">
      <x:c r="A2"/>
      <x:c r="B2"/>
      <x:c r="C2"/>
      <x:c r="D2"/>
    </x:row>
    <x:row r="3">
      <x:c r="A3" t="str">
        <x:v>Three actionable priorities based on repeated issues — no grammar-nitpick checklist.</x:v>
      </x:c>
      <x:c r="B3"/>
      <x:c r="C3"/>
      <x:c r="D3"/>
    </x:row>
    <x:row r="4">
      <x:c r="A4"/>
      <x:c r="B4"/>
      <x:c r="C4"/>
      <x:c r="D4"/>
    </x:row>
    <x:row r="5" ht="32" customHeight="1">
      <x:c r="A5" s="12" t="str">
        <x:v>Priority</x:v>
      </x:c>
      <x:c r="B5" s="12" t="str">
        <x:v>Recurring mistake</x:v>
      </x:c>
      <x:c r="C5" s="12" t="str">
        <x:v>Frequency (articles)</x:v>
      </x:c>
      <x:c r="D5" s="12" t="str">
        <x:v>Personalized writer guidance</x:v>
      </x:c>
    </x:row>
    <x:row r="6" ht="60" customHeight="1">
      <x:c r="A6" s="16" t="str">
        <x:v>High</x:v>
      </x:c>
      <x:c r="B6" s="16" t="str">
        <x:v>General factual claims need a clear scope</x:v>
      </x:c>
      <x:c r="C6" s="16" t="str">
        <x:v>2 / 5</x:v>
      </x:c>
      <x:c r="D6" s="16" t="str">
        <x:v>Before stating a universal technical rule or an exact budgeting range, specify who or what it applies to. Example: “Dielines are needed for structural die-cut packaging,” not every print job; describe 2–5% as an optional festive add-on allowance.</x:v>
      </x:c>
    </x:row>
    <x:row r="7" ht="60" customHeight="1">
      <x:c r="A7" s="16" t="str">
        <x:v>Medium</x:v>
      </x:c>
      <x:c r="B7" s="16" t="str">
        <x:v>Give buyers an actionable final handoff</x:v>
      </x:c>
      <x:c r="C7" s="16" t="str">
        <x:v>2 / 5</x:v>
      </x:c>
      <x:c r="D7" s="16" t="str">
        <x:v>When readers need to order packaging, a concise checklist can help: size, product fit, material, quantity, artwork and approval proof. Use only where procurement is central to the article.</x:v>
      </x:c>
    </x:row>
    <x:row r="8" ht="60" customHeight="1">
      <x:c r="A8" s="16" t="str">
        <x:v>High</x:v>
      </x:c>
      <x:c r="B8" s="16" t="str">
        <x:v>Avoid measurable absolute production guarantees (company-wide safeguard)</x:v>
      </x:c>
      <x:c r="C8" s="16" t="str">
        <x:v>1 cited example; relevant to all writers</x:v>
      </x:c>
      <x:c r="D8" s="16" t="str">
        <x:v>In the Christmas candy boxes article, avoid “We guarantee inch-perfect manufacturing in every piece.” Prefer: “With our in-house production facility in Texas, we focus on precision manufacturing, consistent quality, and producing custom packaging to your approved specifications.” Marketing phrases like “premium quality” or “ensure timely delivery” are acceptable; promises of zero defects or exact results for every unit may be interpreted as product warranties. Confirm any objective guarantee with management before publishing.</x:v>
      </x:c>
    </x:row>
  </x:sheetData>
  <x:pageMargins left="0.7" right="0.7" top="0.75" bottom="0.75" header="0.3" footer="0.3"/>
</x:worksheet>
</file>

<file path=xl/worksheets/sheet8.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45" hidden="0" customWidth="1"/>
    <x:col min="2" max="2" width="32" hidden="0" customWidth="1"/>
    <x:col min="3" max="3" width="56" hidden="0" customWidth="1"/>
    <x:col min="4" max="4" width="80" hidden="0" customWidth="1"/>
    <x:col min="5" max="5" width="74" hidden="0" customWidth="1"/>
  </x:cols>
  <x:sheetData>
    <x:row r="1">
      <x:c r="A1" t="str">
        <x:v>Current balanced content evaluation methodology</x:v>
      </x:c>
      <x:c r="B1"/>
      <x:c r="C1"/>
      <x:c r="D1"/>
      <x:c r="E1"/>
    </x:row>
    <x:row r="2">
      <x:c r="A2"/>
      <x:c r="B2"/>
      <x:c r="C2"/>
      <x:c r="D2"/>
      <x:c r="E2"/>
    </x:row>
    <x:row r="3">
      <x:c r="A3" t="str">
        <x:v>Evidence first. Outcomes matter. Stylistic choices are not ranking requirements.</x:v>
      </x:c>
      <x:c r="B3"/>
      <x:c r="C3"/>
      <x:c r="D3"/>
      <x:c r="E3"/>
    </x:row>
    <x:row r="4">
      <x:c r="A4"/>
      <x:c r="B4"/>
      <x:c r="C4"/>
      <x:c r="D4"/>
      <x:c r="E4"/>
    </x:row>
    <x:row r="5" ht="32" customHeight="1">
      <x:c r="A5" s="12" t="str">
        <x:v>Classification</x:v>
      </x:c>
      <x:c r="B5" s="12" t="str">
        <x:v>Interpretation</x:v>
      </x:c>
      <x:c r="C5" s="12" t="str">
        <x:v>Automatic penalty?</x:v>
      </x:c>
      <x:c r="D5" s="12" t="str">
        <x:v>Publication implication</x:v>
      </x:c>
      <x:c r="E5" s="12" t="str">
        <x:v>Evidence standard</x:v>
      </x:c>
    </x:row>
    <x:row r="6" ht="60" customHeight="1">
      <x:c r="A6" s="16" t="str">
        <x:v>PASS</x:v>
      </x:c>
      <x:c r="B6" s="16" t="str">
        <x:v>Satisfies the article-specific requirement</x:v>
      </x:c>
      <x:c r="C6" s="16" t="str">
        <x:v>No</x:v>
      </x:c>
      <x:c r="D6" s="16" t="str">
        <x:v>Keep</x:v>
      </x:c>
      <x:c r="E6" s="16" t="str">
        <x:v>Relevant published text</x:v>
      </x:c>
    </x:row>
    <x:row r="7" ht="60" customHeight="1">
      <x:c r="A7" s="16" t="str">
        <x:v>ACCEPTABLE</x:v>
      </x:c>
      <x:c r="B7" s="16" t="str">
        <x:v>Legitimate alternate editorial approach</x:v>
      </x:c>
      <x:c r="C7" s="16" t="str">
        <x:v>No</x:v>
      </x:c>
      <x:c r="D7" s="16" t="str">
        <x:v>Keep or optional refinement</x:v>
      </x:c>
      <x:c r="E7" s="16" t="str">
        <x:v>No arbitrary answer-first/location mandate</x:v>
      </x:c>
    </x:row>
    <x:row r="8" ht="60" customHeight="1">
      <x:c r="A8" s="16" t="str">
        <x:v>NEEDS IMPROVEMENT</x:v>
      </x:c>
      <x:c r="B8" s="16" t="str">
        <x:v>Meaningful, noncritical limitation</x:v>
      </x:c>
      <x:c r="C8" s="16" t="str">
        <x:v>Proportionate within dimension</x:v>
      </x:c>
      <x:c r="D8" s="16" t="str">
        <x:v>Schedule an improvement</x:v>
      </x:c>
      <x:c r="E8" s="16" t="str">
        <x:v>Quote or documented missing decision element</x:v>
      </x:c>
    </x:row>
    <x:row r="9" ht="60" customHeight="1">
      <x:c r="A9" s="16" t="str">
        <x:v>FAIL</x:v>
      </x:c>
      <x:c r="B9" s="16" t="str">
        <x:v>Material technical error, unsourced precise norm, or unqualified consequential guarantee</x:v>
      </x:c>
      <x:c r="C9" s="16" t="str">
        <x:v>Meaningful holistic impact; do NOT multiply across checklist</x:v>
      </x:c>
      <x:c r="D9" s="16" t="str">
        <x:v>Correct or formally substantiate before release</x:v>
      </x:c>
      <x:c r="E9" s="16" t="str">
        <x:v>Exact source text + reason</x:v>
      </x:c>
    </x:row>
    <x:row r="10" ht="60" customHeight="1">
      <x:c r="A10" s="16" t="str">
        <x:v>N/A</x:v>
      </x:c>
      <x:c r="B10" s="16" t="str">
        <x:v>Not relevant to this article</x:v>
      </x:c>
      <x:c r="C10" s="16" t="str">
        <x:v>No / excluded</x:v>
      </x:c>
      <x:c r="D10" s="16" t="str">
        <x:v>None</x:v>
      </x:c>
      <x:c r="E10" s="16" t="str">
        <x:v>Reason applicability does not exist</x:v>
      </x:c>
    </x:row>
    <x:row r="11" ht="60" customHeight="1">
      <x:c r="A11" s="16" t="str">
        <x:v>NOT VERIFIED</x:v>
      </x:c>
      <x:c r="B11" s="16" t="str">
        <x:v>Independent evidence unavailable</x:v>
      </x:c>
      <x:c r="C11" s="16" t="str">
        <x:v>No / excluded pending test</x:v>
      </x:c>
      <x:c r="D11" s="16" t="str">
        <x:v>Test only when decision-critical</x:v>
      </x:c>
      <x:c r="E11" s="16" t="str">
        <x:v>Explicitly state missing verification</x:v>
      </x:c>
    </x:row>
    <x:row r="12" ht="60" customHeight="1">
      <x:c r="A12" s="16"/>
      <x:c r="B12" s="16"/>
      <x:c r="C12" s="16"/>
      <x:c r="D12" s="16"/>
      <x:c r="E12" s="16"/>
    </x:row>
    <x:row r="13" ht="60" customHeight="1">
      <x:c r="A13" s="16"/>
      <x:c r="B13" s="16"/>
      <x:c r="C13" s="16"/>
      <x:c r="D13" s="16"/>
      <x:c r="E13" s="16"/>
    </x:row>
    <x:row r="14" ht="60" customHeight="1">
      <x:c r="A14" s="16" t="str">
        <x:v>Dimension</x:v>
      </x:c>
      <x:c r="B14" s="16" t="str">
        <x:v>Weight</x:v>
      </x:c>
      <x:c r="C14" s="16" t="str">
        <x:v>Scoring formula</x:v>
      </x:c>
      <x:c r="D14" s="16" t="str">
        <x:v>What determines rating</x:v>
      </x:c>
      <x:c r="E14" s="16" t="str">
        <x:v>SEO policy relation</x:v>
      </x:c>
    </x:row>
    <x:row r="15" ht="60" customHeight="1">
      <x:c r="A15" s="16" t="str">
        <x:v>Topic &amp; search intent</x:v>
      </x:c>
      <x:c r="B15" s="16" t="n">
        <x:v>15</x:v>
      </x:c>
      <x:c r="C15" s="16" t="str">
        <x:v>Weight × (holistic rating ÷ 5)</x:v>
      </x:c>
      <x:c r="D15" s="16" t="str">
        <x:v>0–5, 0.5 increments; no pass-count conversion</x:v>
      </x:c>
      <x:c r="E15" s="16" t="str">
        <x:v>Google favors helpful, reliable, relevant writing, not fixed intro lengths</x:v>
      </x:c>
    </x:row>
    <x:row r="16" ht="60" customHeight="1">
      <x:c r="A16" s="16" t="str">
        <x:v>Factual &amp; technical accuracy</x:v>
      </x:c>
      <x:c r="B16" s="16" t="n">
        <x:v>15</x:v>
      </x:c>
      <x:c r="C16" s="16" t="str">
        <x:v>Weight × (holistic rating ÷ 5)</x:v>
      </x:c>
      <x:c r="D16" s="16" t="str">
        <x:v>0–5, 0.5 increments; no pass-count conversion</x:v>
      </x:c>
      <x:c r="E16" s="16" t="str">
        <x:v>Google favors helpful, reliable, relevant writing, not fixed intro lengths</x:v>
      </x:c>
    </x:row>
    <x:row r="17" ht="60" customHeight="1">
      <x:c r="A17" s="16" t="str">
        <x:v>Semantic completeness &amp; information value</x:v>
      </x:c>
      <x:c r="B17" s="16" t="n">
        <x:v>20</x:v>
      </x:c>
      <x:c r="C17" s="16" t="str">
        <x:v>Weight × (holistic rating ÷ 5)</x:v>
      </x:c>
      <x:c r="D17" s="16" t="str">
        <x:v>0–5, 0.5 increments; no pass-count conversion</x:v>
      </x:c>
      <x:c r="E17" s="16" t="str">
        <x:v>Google favors helpful, reliable, relevant writing, not fixed intro lengths</x:v>
      </x:c>
    </x:row>
    <x:row r="18" ht="60" customHeight="1">
      <x:c r="A18" s="16" t="str">
        <x:v>Practical usefulness &amp; decision support</x:v>
      </x:c>
      <x:c r="B18" s="16" t="n">
        <x:v>15</x:v>
      </x:c>
      <x:c r="C18" s="16" t="str">
        <x:v>Weight × (holistic rating ÷ 5)</x:v>
      </x:c>
      <x:c r="D18" s="16" t="str">
        <x:v>0–5, 0.5 increments; no pass-count conversion</x:v>
      </x:c>
      <x:c r="E18" s="16" t="str">
        <x:v>Google favors helpful, reliable, relevant writing, not fixed intro lengths</x:v>
      </x:c>
    </x:row>
    <x:row r="19" ht="60" customHeight="1">
      <x:c r="A19" s="16" t="str">
        <x:v>Content structure &amp; readability</x:v>
      </x:c>
      <x:c r="B19" s="16" t="n">
        <x:v>10</x:v>
      </x:c>
      <x:c r="C19" s="16" t="str">
        <x:v>Weight × (holistic rating ÷ 5)</x:v>
      </x:c>
      <x:c r="D19" s="16" t="str">
        <x:v>0–5, 0.5 increments; no pass-count conversion</x:v>
      </x:c>
      <x:c r="E19" s="16" t="str">
        <x:v>Google favors helpful, reliable, relevant writing, not fixed intro lengths</x:v>
      </x:c>
    </x:row>
    <x:row r="20" ht="60" customHeight="1">
      <x:c r="A20" s="16" t="str">
        <x:v>Natural SEO integration</x:v>
      </x:c>
      <x:c r="B20" s="16" t="n">
        <x:v>10</x:v>
      </x:c>
      <x:c r="C20" s="16" t="str">
        <x:v>Weight × (holistic rating ÷ 5)</x:v>
      </x:c>
      <x:c r="D20" s="16" t="str">
        <x:v>0–5, 0.5 increments; no pass-count conversion</x:v>
      </x:c>
      <x:c r="E20" s="16" t="str">
        <x:v>Google favors helpful, reliable, relevant writing, not fixed intro lengths</x:v>
      </x:c>
    </x:row>
    <x:row r="21" ht="60" customHeight="1">
      <x:c r="A21" s="16" t="str">
        <x:v>B2B audience &amp; commercial relevance</x:v>
      </x:c>
      <x:c r="B21" s="16" t="n">
        <x:v>10</x:v>
      </x:c>
      <x:c r="C21" s="16" t="str">
        <x:v>Weight × (holistic rating ÷ 5)</x:v>
      </x:c>
      <x:c r="D21" s="16" t="str">
        <x:v>0–5, 0.5 increments; no pass-count conversion</x:v>
      </x:c>
      <x:c r="E21" s="16" t="str">
        <x:v>Google favors helpful, reliable, relevant writing, not fixed intro lengths</x:v>
      </x:c>
    </x:row>
    <x:row r="22" ht="60" customHeight="1">
      <x:c r="A22" s="16" t="str">
        <x:v>Editorial quality &amp; consistency</x:v>
      </x:c>
      <x:c r="B22" s="16" t="n">
        <x:v>5</x:v>
      </x:c>
      <x:c r="C22" s="16" t="str">
        <x:v>Weight × (holistic rating ÷ 5)</x:v>
      </x:c>
      <x:c r="D22" s="16" t="str">
        <x:v>0–5, 0.5 increments; no pass-count conversion</x:v>
      </x:c>
      <x:c r="E22" s="16" t="str">
        <x:v>Google favors helpful, reliable, relevant writing, not fixed intro lengths</x:v>
      </x:c>
    </x:row>
    <x:row r="23" ht="60" customHeight="1">
      <x:c r="A23" s="16"/>
      <x:c r="B23" s="16"/>
      <x:c r="C23" s="16"/>
      <x:c r="D23" s="16"/>
      <x:c r="E23" s="16"/>
    </x:row>
    <x:row r="24" ht="60" customHeight="1">
      <x:c r="A24" s="16"/>
      <x:c r="B24" s="16"/>
      <x:c r="C24" s="16"/>
      <x:c r="D24" s="16"/>
      <x:c r="E24" s="16"/>
    </x:row>
    <x:row r="25" ht="60" customHeight="1">
      <x:c r="A25" s="16" t="str">
        <x:v>SOURCES &amp; VERIFICATION LIMITS</x:v>
      </x:c>
      <x:c r="B25" s="16"/>
      <x:c r="C25" s="16"/>
      <x:c r="D25" s="16"/>
      <x:c r="E25" s="16"/>
    </x:row>
    <x:row r="26" ht="60" customHeight="1">
      <x:c r="A26" s="16" t="str">
        <x:v>Google Search Central helpful content</x:v>
      </x:c>
      <x:c r="B26" s="16" t="str">
        <x:v>https://developers.google.com/search/docs/fundamentals/creating-helpful-content</x:v>
      </x:c>
      <x:c r="C26" s="16"/>
      <x:c r="D26" s="16"/>
      <x:c r="E26" s="16"/>
    </x:row>
    <x:row r="27" ht="60" customHeight="1">
      <x:c r="A27" s="16" t="str">
        <x:v>Google SEO Starter Guide</x:v>
      </x:c>
      <x:c r="B27" s="16" t="str">
        <x:v>https://developers.google.com/search/docs/fundamentals/seo-starter-guide</x:v>
      </x:c>
      <x:c r="C27" s="16"/>
      <x:c r="D27" s="16"/>
      <x:c r="E27" s="16"/>
    </x:row>
    <x:row r="28" ht="60" customHeight="1">
      <x:c r="A28" s="16" t="str">
        <x:v>Soap market original report</x:v>
      </x:c>
      <x:c r="B28" s="16" t="str">
        <x:v>https://www.fortunebusinessinsights.com/soap-market-102841</x:v>
      </x:c>
      <x:c r="C28" s="16"/>
      <x:c r="D28" s="16"/>
      <x:c r="E28" s="16"/>
    </x:row>
    <x:row r="29" ht="60" customHeight="1">
      <x:c r="A29" s="16" t="str">
        <x:v>FDA food contact source</x:v>
      </x:c>
      <x:c r="B29" s="16" t="str">
        <x:v>https://www.fda.gov/food/food-ingredients-packaging/food-packaging-other-substances-come-contact-food-information-consumers</x:v>
      </x:c>
      <x:c r="C29" s="16"/>
      <x:c r="D29" s="16"/>
      <x:c r="E29" s="16"/>
    </x:row>
    <x:row r="30" ht="60" customHeight="1">
      <x:c r="A30" s="16" t="str">
        <x:v>FDA soap drug/cosmetic categories</x:v>
      </x:c>
      <x:c r="B30" s="16" t="str">
        <x:v>https://www.fda.gov/cosmetics/cosmetics-laws-regulations/it-cosmetic-drug-or-both-or-it-soap</x:v>
      </x:c>
      <x:c r="C30" s="16"/>
      <x:c r="D30" s="16"/>
      <x:c r="E30" s="16"/>
    </x:row>
    <x:row r="31" ht="60" customHeight="1">
      <x:c r="A31" s="16"/>
      <x:c r="B31" s="16"/>
      <x:c r="C31" s="16"/>
      <x:c r="D31" s="16"/>
      <x:c r="E31" s="16"/>
    </x:row>
    <x:row r="32" ht="60" customHeight="1">
      <x:c r="A32" s="16" t="str">
        <x:v>Not independently verified: plagiarism, live-page screenshot captures, link HTTP responses, or Print247 operations/service-level documentation. Calibrate Fizza, Mohsin and Maryam under the same rules before producing a new four-writer ranking.</x:v>
      </x:c>
      <x:c r="B32" s="16"/>
      <x:c r="C32" s="16"/>
      <x:c r="D32" s="16"/>
      <x:c r="E32" s="16"/>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28" hidden="0" customWidth="1"/>
    <x:col min="3" max="3" width="28" hidden="0" customWidth="1"/>
    <x:col min="4" max="4" width="99" hidden="0" customWidth="1"/>
    <x:col min="5" max="5" width="104" hidden="0" customWidth="1"/>
    <x:col min="6" max="6" width="70" hidden="0" customWidth="1"/>
  </x:cols>
  <x:sheetData>
    <x:row r="1" ht="32" customHeight="1">
      <x:c r="A1" s="12" t="str">
        <x:v>ISSUE</x:v>
      </x:c>
      <x:c r="B1" s="12" t="str">
        <x:v>ARTICLE</x:v>
      </x:c>
      <x:c r="C1" s="12" t="str">
        <x:v>EDITORIAL VERDICT</x:v>
      </x:c>
      <x:c r="D1" s="12" t="str">
        <x:v>BUSINESS ACTION</x:v>
      </x:c>
      <x:c r="E1" s="12" t="str">
        <x:v>RATIONALE</x:v>
      </x:c>
      <x:c r="F1" s="12" t="str">
        <x:v>REFERENCE</x:v>
      </x:c>
    </x:row>
    <x:row r="2" ht="60" customHeight="1">
      <x:c r="A2" s="16" t="str">
        <x:v>HB04-01</x:v>
      </x:c>
      <x:c r="B2" s="16" t="str">
        <x:v>Small-business Christmas</x:v>
      </x:c>
      <x:c r="C2" s="16" t="str">
        <x:v>NEEDS IMPROVEMENT</x:v>
      </x:c>
      <x:c r="D2" s="16" t="str">
        <x:v>Edit wording, no factual-error penalty</x:v>
      </x:c>
      <x:c r="E2" s="16" t="str">
        <x:v>Frame 2–5% as optional incremental festive-packaging allowance with margin-dependent variation, not a proven industry average.</x:v>
      </x:c>
      <x:c r="F2" s="16" t="str">
        <x:v>https://print247.us/post/christmas-gift-packaging-for-small-business-what-works</x:v>
      </x:c>
    </x:row>
    <x:row r="3" ht="60" customHeight="1">
      <x:c r="A3" s="16" t="str">
        <x:v>HB05-01</x:v>
      </x:c>
      <x:c r="B3" s="16" t="str">
        <x:v>Christmas candy boxes</x:v>
      </x:c>
      <x:c r="C3" s="16" t="str">
        <x:v>ACCEPTABLE / EXCLUDED</x:v>
      </x:c>
      <x:c r="D3" s="16" t="str">
        <x:v>Recommend safer copy; no automatic writer-score penalty. Escalate measurable guarantees to management for substantiation.</x:v>
      </x:c>
      <x:c r="E3" s="16" t="str">
        <x:v>“Inch-perfect manufacturing in every piece” may imply an objective production promise and potential express warranty; ordinary sales puffery remains acceptable. This is a precaution, not a confirmed legal violation.</x:v>
      </x:c>
      <x:c r="F3" s="16" t="str">
        <x:v>https://www.law.cornell.edu/ucc/2/2-313</x:v>
      </x:c>
    </x:row>
    <x:row r="4" ht="60" customHeight="1">
      <x:c r="A4" s="16" t="str">
        <x:v>HB05-02</x:v>
      </x:c>
      <x:c r="B4" s="16" t="str">
        <x:v>Christmas candy boxes</x:v>
      </x:c>
      <x:c r="C4" s="16" t="str">
        <x:v>ACCEPTABLE / EXCLUDED</x:v>
      </x:c>
      <x:c r="D4" s="16" t="str">
        <x:v>No writer correction</x:v>
      </x:c>
      <x:c r="E4" s="16" t="str">
        <x:v>Routine “ensure timely delivery” service language accepted in B2B advertising.</x:v>
      </x:c>
      <x:c r="F4" s="16" t="str">
        <x:v>https://www.ftc.gov/legal-library/browse/ftc-policy-statement-regarding-advertising-substantiation</x:v>
      </x:c>
    </x:row>
    <x:row r="5" ht="60" customHeight="1">
      <x:c r="A5" s="16" t="str">
        <x:v>HB02-03</x:v>
      </x:c>
      <x:c r="B5" s="16" t="str">
        <x:v>Christmas finishes</x:v>
      </x:c>
      <x:c r="C5" s="16" t="str">
        <x:v>ACCEPTABLE / EXCLUDED</x:v>
      </x:c>
      <x:c r="D5" s="16" t="str">
        <x:v>No writer correction</x:v>
      </x:c>
      <x:c r="E5" s="16" t="str">
        <x:v>Ordinary “best known” promotional language is puffery absent a measurable ranking claim.</x:v>
      </x:c>
      <x:c r="F5" s="16" t="str">
        <x:v>https://www.ftc.gov/news-events/news/speeches/role-advertising-advertising-regulation-free-market</x:v>
      </x:c>
    </x:row>
    <x:row r="6" ht="60" customHeight="1">
      <x:c r="A6" s="16" t="str">
        <x:v>HB02-01</x:v>
      </x:c>
      <x:c r="B6" s="16" t="str">
        <x:v>Christmas finishes</x:v>
      </x:c>
      <x:c r="C6" s="16" t="str">
        <x:v>ACCEPTABLE / EXCLUDED</x:v>
      </x:c>
      <x:c r="D6" s="16" t="str">
        <x:v>No writer correction</x:v>
      </x:c>
      <x:c r="E6" s="16" t="str">
        <x:v>Commercially understandable heading/section choices; optional stylistic retitling is not a scoring failure.</x:v>
      </x:c>
      <x:c r="F6" s="16" t="str">
        <x:v>https://print247.us/post/finishing-options-that-make-christmas-boxes-look-premium</x:v>
      </x:c>
    </x:row>
    <x:row r="7" ht="60" customHeight="1">
      <x:c r="A7" s="16" t="str">
        <x:v>RULE</x:v>
      </x:c>
      <x:c r="B7" s="16" t="str">
        <x:v>Future writers</x:v>
      </x:c>
      <x:c r="C7" s="16" t="str">
        <x:v>SAME STANDARD</x:v>
      </x:c>
      <x:c r="D7" s="16" t="str">
        <x:v>Use across all four writers</x:v>
      </x:c>
      <x:c r="E7" s="16" t="str">
        <x:v>Allow ordinary promotions and contextual introductions; enforce meaningful accuracy, search-intent, and buyer-usefulness errors.</x:v>
      </x:c>
      <x:c r="F7" s="16" t="str">
        <x:v>https://www.ftc.gov/business-guidance/resources/advertising-faqs-guide-small-business</x:v>
      </x:c>
    </x:row>
    <x:row r="8" ht="60" customHeight="1">
      <x:c r="A8" s="16" t="str">
        <x:v>ALL-WRITERS</x:v>
      </x:c>
      <x:c r="B8" s="16" t="str">
        <x:v>All Print247 articles</x:v>
      </x:c>
      <x:c r="C8" s="16" t="str">
        <x:v>APPROVED GUIDELINE</x:v>
      </x:c>
      <x:c r="D8" s="16" t="str">
        <x:v>Avoid categorical production promises unless verified/approved.</x:v>
      </x:c>
      <x:c r="E8" s="16" t="str">
        <x:v>Prefer precise, confident claims without guaranteeing zero variation, zero defects, universal outcomes, or exact performance for every product. Do not penalize ordinary branding or timely-delivery claims.</x:v>
      </x:c>
      <x:c r="F8" s="16" t="str">
        <x:v>https://www.law.cornell.edu/ucc/2/2-313</x:v>
      </x:c>
    </x:row>
    <x:row r="9" ht="60" customHeight="1">
      <x:c r="A9" s="16" t="str">
        <x:v>SUGGESTED COPY</x:v>
      </x:c>
      <x:c r="B9" s="16" t="str">
        <x:v>Christmas candy boxes</x:v>
      </x:c>
      <x:c r="C9" s="16" t="str">
        <x:v>PREFERRED REPLACEMENT</x:v>
      </x:c>
      <x:c r="D9" s="16" t="str">
        <x:v>With our in-house production facility in Texas, we focus on precision manufacturing, consistent quality, and producing custom packaging to your approved specifications.</x:v>
      </x:c>
      <x:c r="E9" s="16" t="str">
        <x:v>Suggested replacement for “inch-perfect manufacturing in every piece.” Company should verify factual descriptions of facilities and operations before publication.</x:v>
      </x:c>
      <x:c r="F9" s="16" t="str">
        <x:v>https://print247.us/post/christmas-candy-box-ideas</x:v>
      </x:c>
    </x:row>
  </x:sheetData>
  <x:pageMargins left="0.7" right="0.7" top="0.75" bottom="0.75" header="0.3" footer="0.3"/>
</x:worksheet>
</file>