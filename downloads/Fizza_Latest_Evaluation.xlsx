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ae543b896648d5" /></Relationships>
</file>

<file path=xl/workbook.xml><?xml version="1.0" encoding="utf-8"?>
<x:workbook xmlns:x="http://schemas.openxmlformats.org/spreadsheetml/2006/main">
  <x:sheets>
    <x:sheet xmlns:r="http://schemas.openxmlformats.org/officeDocument/2006/relationships" name="Executive" sheetId="1" r:id="R43580f811d124b72"/>
    <x:sheet xmlns:r="http://schemas.openxmlformats.org/officeDocument/2006/relationships" name="Article Scores" sheetId="2" r:id="Rd57bec4928804d6f"/>
    <x:sheet xmlns:r="http://schemas.openxmlformats.org/officeDocument/2006/relationships" name="8 Dimensions" sheetId="3" r:id="R5348c90f26a24272"/>
    <x:sheet xmlns:r="http://schemas.openxmlformats.org/officeDocument/2006/relationships" name="Issues" sheetId="4" r:id="R73b437ae65f347b7"/>
    <x:sheet xmlns:r="http://schemas.openxmlformats.org/officeDocument/2006/relationships" name="Criteria 260" sheetId="5" r:id="R0f97aa74ce3a4214"/>
    <x:sheet xmlns:r="http://schemas.openxmlformats.org/officeDocument/2006/relationships" name="Strengths" sheetId="6" r:id="R728d45a4070e4dfc"/>
    <x:sheet xmlns:r="http://schemas.openxmlformats.org/officeDocument/2006/relationships" name="Mini Guide" sheetId="7" r:id="R5851499f58174acd"/>
    <x:sheet xmlns:r="http://schemas.openxmlformats.org/officeDocument/2006/relationships" name="Methodology" sheetId="8" r:id="R3a87be4698f3486c"/>
    <x:sheet xmlns:r="http://schemas.openxmlformats.org/officeDocument/2006/relationships" name="Manager Decisions" sheetId="9" r:id="R45af81b3b3804fe3"/>
  </x:sheets>
</x:workbook>
</file>

<file path=xl/sharedStrings.xml><?xml version="1.0" encoding="utf-8"?>
<x:sst xmlns:x="http://schemas.openxmlformats.org/spreadsheetml/2006/main">
  <x:si>
    <x:t xml:space="preserve">PRINT247  |  FIZZA CONTENT EVALUATION</x:t>
  </x:si>
  <x:si>
    <x:t xml:space="preserve">Management overview  ·  Current balanced SEO review  ·  Five articles  ·  Management approval pending</x:t>
  </x:si>
  <x:si>
    <x:t xml:space="preserve">Current writer score</x:t>
  </x:si>
  <x:si>
    <x:t xml:space="preserve">Articles evaluated</x:t>
  </x:si>
  <x:si>
    <x:t xml:space="preserve">Proposed minimum*</x:t>
  </x:si>
  <x:si>
    <x:t xml:space="preserve">Material FAIL findings</x:t>
  </x:si>
  <x:si>
    <x:t xml:space="preserve">Improvement opportunities</x:t>
  </x:si>
  <x:si>
    <x:t xml:space="preserve">Article</x:t>
  </x:si>
  <x:si>
    <x:t xml:space="preserve">Score /100</x:t>
  </x:si>
  <x:si>
    <x:t xml:space="preserve">Material FAIL</x:t>
  </x:si>
  <x:si>
    <x:t xml:space="preserve">Improvements</x:t>
  </x:si>
  <x:si>
    <x:t xml:space="preserve">Editorial disposition</x:t>
  </x:si>
  <x:si>
    <x:t xml:space="preserve">How to Measure Cardboard Box Dimensions</x:t>
  </x:si>
  <x:si>
    <x:t xml:space="preserve">Revise material factual error before final sign-off</x:t>
  </x:si>
  <x:si>
    <x:t xml:space="preserve">Standard Baseball Card Sizes</x:t>
  </x:si>
  <x:si>
    <x:t xml:space="preserve">Christmas Packaging With Your Brand Logo</x:t>
  </x:si>
  <x:si>
    <x:t xml:space="preserve">Different Types of Invitation Cards</x:t>
  </x:si>
  <x:si>
    <x:t xml:space="preserve">Printable Vinyl vs. Paper Stickers</x:t>
  </x:si>
  <x:si>
    <x:t xml:space="preserve">SCORING PRINCIPLE  ·  Factual mistakes are tracked once; routine marketing and acceptable style incur no automatic penalty.</x:t>
  </x:si>
  <x:si>
    <x:t xml:space="preserve">*70/100 remains a proposed management benchmark. Fizza's current editorial ratings are pending management sign-off.</x:t>
  </x:si>
  <x:si>
    <x:t xml:space="preserve">Fizza · Article Performance</x:t>
  </x:si>
  <x:si>
    <x:t xml:space="preserve">Current balanced evaluation · five articles · management-standard methodology</x:t>
  </x:si>
  <x:si>
    <x:t xml:space="preserve">#</x:t>
  </x:si>
  <x:si>
    <x:t xml:space="preserve">Published URL</x:t>
  </x:si>
  <x:si>
    <x:t xml:space="preserve">Against proposed 70</x:t>
  </x:si>
  <x:si>
    <x:t xml:space="preserve">Management action</x:t>
  </x:si>
  <x:si>
    <x:t xml:space="preserve">https://print247.us/post/how-to-measure-cardboard-box-dimensions</x:t>
  </x:si>
  <x:si>
    <x:t xml:space="preserve">Meets proposed benchmark</x:t>
  </x:si>
  <x:si>
    <x:t xml:space="preserve">https://print247.us/post/standard-baseball-card-sizes-all-dimensions-in-inches-cm-mm</x:t>
  </x:si>
  <x:si>
    <x:t xml:space="preserve">https://print247.us/post/christmas-packaging-with-your-brand-logo</x:t>
  </x:si>
  <x:si>
    <x:t xml:space="preserve">https://print247.us/post/different-types-of-invitation-cards</x:t>
  </x:si>
  <x:si>
    <x:t xml:space="preserve">https://print247.us/post/printable-vinyl-for-stickers-vs-paper-stickers</x:t>
  </x:si>
  <x:si>
    <x:t xml:space="preserve">Eight Scoring Dimensions</x:t>
  </x:si>
  <x:si>
    <x:t xml:space="preserve">Calibrated ratings for each article. No repeated issue deductions; every aspect rated once.</x:t>
  </x:si>
  <x:si>
    <x:t xml:space="preserve">Article #</x:t>
  </x:si>
  <x:si>
    <x:t xml:space="preserve">Dimension</x:t>
  </x:si>
  <x:si>
    <x:t xml:space="preserve">Weight %</x:t>
  </x:si>
  <x:si>
    <x:t xml:space="preserve">Rating /5</x:t>
  </x:si>
  <x:si>
    <x:t xml:space="preserve">Weighted /100</x:t>
  </x:si>
  <x:si>
    <x:t xml:space="preserve">Issue IDs (primary only)</x:t>
  </x:si>
  <x:si>
    <x:t xml:space="preserve">Reasoned rating basis</x:t>
  </x:si>
  <x:si>
    <x:t xml:space="preserve">Cardboard box dimensions</x:t>
  </x:si>
  <x:si>
    <x:t xml:space="preserve">Topic &amp; search intent</x:t>
  </x:si>
  <x:si>
    <x:t xml:space="preserve">The opening gives relevant packaging context; the later L × W × H instructions still satisfy the query, so definition placement is not penalized.</x:t>
  </x:si>
  <x:si>
    <x:t xml:space="preserve">Factual &amp; technical accuracy</x:t>
  </x:si>
  <x:si>
    <x:t xml:space="preserve">FZ-B01-01</x:t>
  </x:si>
  <x:si>
    <x:t xml:space="preserve">Semantic completeness &amp; information value</x:t>
  </x:si>
  <x:si>
    <x:t xml:space="preserve">Covers length, width, height, volume, girth and inside/outside measurements with useful relationships.</x:t>
  </x:si>
  <x:si>
    <x:t xml:space="preserve">Practical usefulness &amp; decision support</x:t>
  </x:si>
  <x:si>
    <x:t xml:space="preserve">Offers workable measurement steps and volume calculation; a concise buyer-ordering example would add value.</x:t>
  </x:si>
  <x:si>
    <x:t xml:space="preserve">Content structure &amp; readability</x:t>
  </x:si>
  <x:si>
    <x:t xml:space="preserve">Logical steps and useful headings; preliminary background and modest repetition remain acceptable.</x:t>
  </x:si>
  <x:si>
    <x:t xml:space="preserve">Natural SEO integration</x:t>
  </x:si>
  <x:si>
    <x:t xml:space="preserve">Main keyword, variations and measurement headings are natural and relevant.</x:t>
  </x:si>
  <x:si>
    <x:t xml:space="preserve">B2B audience &amp; commercial relevance</x:t>
  </x:si>
  <x:si>
    <x:t xml:space="preserve">Relevant for shipping and custom boxes; product-fit and specification submission need only modest elaboration.</x:t>
  </x:si>
  <x:si>
    <x:t xml:space="preserve">Editorial quality &amp; consistency</x:t>
  </x:si>
  <x:si>
    <x:t xml:space="preserve">Instructions remain comprehensible; isolated phrasing errors do not materially obstruct the task.</x:t>
  </x:si>
  <x:si>
    <x:t xml:space="preserve">Baseball card sizes</x:t>
  </x:si>
  <x:si>
    <x:t xml:space="preserve">The modern 2.5 × 3.5-inch answer appears near the top with conversions and associated card variations.</x:t>
  </x:si>
  <x:si>
    <x:t xml:space="preserve">FZ-B02-01, FZ-B02-02</x:t>
  </x:si>
  <x:si>
    <x:t xml:space="preserve">Two important defects: modern 1957 size is incorrectly attributed to 1952, and the PSA slab table contradicts itself.</x:t>
  </x:si>
  <x:si>
    <x:t xml:space="preserve">Explains measurements, conversion, aspect ratio, storage and grading; chronology needs correction.</x:t>
  </x:si>
  <x:si>
    <x:t xml:space="preserve">Useful format table, holder context and pixel sizes, although slab dimensions must be corrected before reliance.</x:t>
  </x:si>
  <x:si>
    <x:t xml:space="preserve">Historical context and measurement tables are easy to navigate; background is appropriate for this subject.</x:t>
  </x:si>
  <x:si>
    <x:t xml:space="preserve">Search terms and size variants appear naturally in headings and descriptive passages.</x:t>
  </x:si>
  <x:si>
    <x:t xml:space="preserve">Applies to both collectors and packaging customers; commercially relevant storage and sizing issues are present.</x:t>
  </x:si>
  <x:si>
    <x:t xml:space="preserve">Readable and well structured; the penny-sleeve wording is a local terminology issue, not broad editorial failure.</x:t>
  </x:si>
  <x:si>
    <x:t xml:space="preserve">Christmas packaging</x:t>
  </x:si>
  <x:si>
    <x:t xml:space="preserve">Seven-step design workflow covers what readers seeking branded Christmas packaging need.</x:t>
  </x:si>
  <x:si>
    <x:t xml:space="preserve">Includes logos, seasonal color, finishing, materials, dielines, printing systems and proofing.</x:t>
  </x:si>
  <x:si>
    <x:t xml:space="preserve">Clear step numbering; festive marketing introduction and natural promotions are acceptable.</x:t>
  </x:si>
  <x:si>
    <x:t xml:space="preserve">Packaging/logo-related terms and descriptive sections are consistent and not stuffed.</x:t>
  </x:si>
  <x:si>
    <x:t xml:space="preserve">Speaks to brands managing seasonal product-packaging design and production planning.</x:t>
  </x:si>
  <x:si>
    <x:t xml:space="preserve">Occasional typographical slips do not negate otherwise readable instructional content.</x:t>
  </x:si>
  <x:si>
    <x:t xml:space="preserve">Invitation card types</x:t>
  </x:si>
  <x:si>
    <x:t xml:space="preserve">Provides types and common usage scenarios; introductory background is allowable and does not prevent intent satisfaction.</x:t>
  </x:si>
  <x:si>
    <x:t xml:space="preserve">Sizing and selection tables give practical event-format, paper and postage considerations.</x:t>
  </x:si>
  <x:si>
    <x:t xml:space="preserve">Logical format categories and tables; no penalty for small heading grammar and natural contextual paragraphs.</x:t>
  </x:si>
  <x:si>
    <x:t xml:space="preserve">Headings and target terms fit the article without conspicuous repetition.</x:t>
  </x:si>
  <x:si>
    <x:t xml:space="preserve">Explains business/event use cases and basic buying criteria sufficient for this broad informational query.</x:t>
  </x:si>
  <x:si>
    <x:t xml:space="preserve">Acceptably professional; isolated grammatical slips are not treated as substantive writer problems.</x:t>
  </x:si>
  <x:si>
    <x:t xml:space="preserve">Vinyl vs. paper stickers</x:t>
  </x:si>
  <x:si>
    <x:t xml:space="preserve">Article clearly compares vinyl and paper stickers and discusses cost, durability and use cases.</x:t>
  </x:si>
  <x:si>
    <x:t xml:space="preserve">FZ-B05-01, FZ-B05-02</x:t>
  </x:si>
  <x:si>
    <x:t xml:space="preserve">Materially wrong assumptions about universal scratch resistance and adhesive class undermine core material advice.</x:t>
  </x:si>
  <x:si>
    <x:t xml:space="preserve">Includes the main entities: face stock, adhesive, liner, durability, uses and print differences.</x:t>
  </x:si>
  <x:si>
    <x:t xml:space="preserve">Useful side-by-side choice guidance, but wrong adhesive assumptions can mislead product-selection decisions.</x:t>
  </x:si>
  <x:si>
    <x:t xml:space="preserve">Comparison tables and section flow are accessible; introduction length and sales style are acceptable.</x:t>
  </x:si>
  <x:si>
    <x:t xml:space="preserve">Supporting terms such as inkjet, paper, vinyl and outdoor uses appear naturally.</x:t>
  </x:si>
  <x:si>
    <x:t xml:space="preserve">Bulk-label cost and promotional-use scenarios clearly reflect B2B needs.</x:t>
  </x:si>
  <x:si>
    <x:t xml:space="preserve">Writing is understandable; qualification of performance and environmental statements matters more than minor grammar.</x:t>
  </x:si>
  <x:si>
    <x:t xml:space="preserve">Current Issues &amp; Recommendations</x:t>
  </x:si>
  <x:si>
    <x:t xml:space="preserve">Issue ID</x:t>
  </x:si>
  <x:si>
    <x:t xml:space="preserve">Status</x:t>
  </x:si>
  <x:si>
    <x:t xml:space="preserve">Priority</x:t>
  </x:si>
  <x:si>
    <x:t xml:space="preserve">Finding</x:t>
  </x:si>
  <x:si>
    <x:t xml:space="preserve">Published excerpt (short)</x:t>
  </x:si>
  <x:si>
    <x:t xml:space="preserve">Reason for assessment</x:t>
  </x:si>
  <x:si>
    <x:t xml:space="preserve">Recommended correction</x:t>
  </x:si>
  <x:si>
    <x:t xml:space="preserve">Source lines</x:t>
  </x:si>
  <x:si>
    <x:t xml:space="preserve">Original URL</x:t>
  </x:si>
  <x:si>
    <x:t xml:space="preserve">52 diagnostic checks × 5 articles</x:t>
  </x:si>
  <x:si>
    <x:t xml:space="preserve">Status categories include PASS · ACCEPTABLE · NEEDS IMPROVEMENT · FAIL · NOT VERIFIED. Checks do not independently deduct points.</x:t>
  </x:si>
  <x:si>
    <x:t xml:space="preserve">Check ID</x:t>
  </x:si>
  <x:si>
    <x:t xml:space="preserve">Section</x:t>
  </x:si>
  <x:si>
    <x:t xml:space="preserve">Question</x:t>
  </x:si>
  <x:si>
    <x:t xml:space="preserve">Balanced status</x:t>
  </x:si>
  <x:si>
    <x:t xml:space="preserve">Evidence/rationale</x:t>
  </x:si>
  <x:si>
    <x:t xml:space="preserve">Related unique issue IDs</x:t>
  </x:si>
  <x:si>
    <x:t xml:space="preserve">Article lines / URL</x:t>
  </x:si>
  <x:si>
    <x:t xml:space="preserve">0-0</x:t>
  </x:si>
  <x:si>
    <x:t xml:space="preserve">Search Intent &amp; Topic Targeting</x:t>
  </x:si>
  <x:si>
    <x:t xml:space="preserve">The article has a clear primary topic and target query.</x:t>
  </x:si>
  <x:si>
    <x:t xml:space="preserve">PASS</x:t>
  </x:si>
  <x:si>
    <x:t xml:space="preserve">H1 and practical step-by-step measuring section; L×W×H presented.</x:t>
  </x:si>
  <x:si>
    <x:t xml:space="preserve">0-1</x:t>
  </x:si>
  <x:si>
    <x:t xml:space="preserve">The title accurately reflects what the article delivers.</x:t>
  </x:si>
  <x:si>
    <x:t xml:space="preserve">0-2</x:t>
  </x:si>
  <x:si>
    <x:t xml:space="preserve">The introduction answers or directly addresses the main search intent.</x:t>
  </x:si>
  <x:si>
    <x:t xml:space="preserve">ACCEPTABLE</x:t>
  </x:si>
  <x:si>
    <x:t xml:space="preserve">Previously flagged under a stricter standard; not a material failure after balanced review.</x:t>
  </x:si>
  <x:si>
    <x:t xml:space="preserve">0-3</x:t>
  </x:si>
  <x:si>
    <x:t xml:space="preserve">The content solves the reader’s primary problem.</x:t>
  </x:si>
  <x:si>
    <x:t xml:space="preserve">0-4</x:t>
  </x:si>
  <x:si>
    <x:t xml:space="preserve">Sections stay focused on the main topic without unnecessary tangents.</x:t>
  </x:si>
  <x:si>
    <x:t xml:space="preserve">0-5</x:t>
  </x:si>
  <x:si>
    <x:t xml:space="preserve">The article matches the expected informational or commercial intent.</x:t>
  </x:si>
  <x:si>
    <x:t xml:space="preserve">1-0</x:t>
  </x:si>
  <x:si>
    <x:t xml:space="preserve">Factual Accuracy &amp; Research</x:t>
  </x:si>
  <x:si>
    <x:t xml:space="preserve">Product, material, and packaging terminology is accurate.</x:t>
  </x:si>
  <x:si>
    <x:t xml:space="preserve">FAIL</x:t>
  </x:si>
  <x:si>
    <x:t xml:space="preserve">1-1</x:t>
  </x:si>
  <x:si>
    <x:t xml:space="preserve">Specifications, dimensions, and technical statements are correct.</x:t>
  </x:si>
  <x:si>
    <x:t xml:space="preserve">Incorrect formula for girth</x:t>
  </x:si>
  <x:si>
    <x:t xml:space="preserve">1-2</x:t>
  </x:si>
  <x:si>
    <x:t xml:space="preserve">Statistics and significant factual claims have credible support.</x:t>
  </x:si>
  <x:si>
    <x:t xml:space="preserve">NEEDS IMPROVEMENT</x:t>
  </x:si>
  <x:si>
    <x:t xml:space="preserve">Example sizes presented as universal standards</x:t>
  </x:si>
  <x:si>
    <x:t xml:space="preserve">FZ-B01-03</x:t>
  </x:si>
  <x:si>
    <x:t xml:space="preserve">1-3</x:t>
  </x:si>
  <x:si>
    <x:t xml:space="preserve">The content contains no misleading or contradictory claims.</x:t>
  </x:si>
  <x:si>
    <x:t xml:space="preserve">1-4</x:t>
  </x:si>
  <x:si>
    <x:t xml:space="preserve">Explanations demonstrate genuine subject-matter understanding.</x:t>
  </x:si>
  <x:si>
    <x:t xml:space="preserve">1-5</x:t>
  </x:si>
  <x:si>
    <x:t xml:space="preserve">The information is relevant and accurate for US B2B buyers.</x:t>
  </x:si>
  <x:si>
    <x:t xml:space="preserve">Volume worked example and internal-vs-external dimensions are present.</x:t>
  </x:si>
  <x:si>
    <x:t xml:space="preserve">2-0</x:t>
  </x:si>
  <x:si>
    <x:t xml:space="preserve">Semantic SEO &amp; Topical Coverage</x:t>
  </x:si>
  <x:si>
    <x:t xml:space="preserve">Important entities, attributes, and subtopics are covered.</x:t>
  </x:si>
  <x:si>
    <x:t xml:space="preserve">Length, width, height, girth, volume, and multiple packaging types covered.</x:t>
  </x:si>
  <x:si>
    <x:t xml:space="preserve">2-1</x:t>
  </x:si>
  <x:si>
    <x:t xml:space="preserve">The article explains meaningful relationships between concepts.</x:t>
  </x:si>
  <x:si>
    <x:t xml:space="preserve">2-2</x:t>
  </x:si>
  <x:si>
    <x:t xml:space="preserve">H2 and H3 headings follow a logical topical hierarchy.</x:t>
  </x:si>
  <x:si>
    <x:t xml:space="preserve">2-3</x:t>
  </x:si>
  <x:si>
    <x:t xml:space="preserve">Essential questions and decision factors are answered.</x:t>
  </x:si>
  <x:si>
    <x:t xml:space="preserve">2-4</x:t>
  </x:si>
  <x:si>
    <x:t xml:space="preserve">There are no major topical gaps that prevent intent satisfaction.</x:t>
  </x:si>
  <x:si>
    <x:t xml:space="preserve">2-5</x:t>
  </x:si>
  <x:si>
    <x:t xml:space="preserve">Sections add distinct value instead of repeating the same information.</x:t>
  </x:si>
  <x:si>
    <x:t xml:space="preserve">3-0</x:t>
  </x:si>
  <x:si>
    <x:t xml:space="preserve">Originality &amp; Information Gain</x:t>
  </x:si>
  <x:si>
    <x:t xml:space="preserve">The article provides more than generic definitions or descriptions.</x:t>
  </x:si>
  <x:si>
    <x:t xml:space="preserve">Measurement example 10×6×4=240 and worked girth 12×6×3=18.</x:t>
  </x:si>
  <x:si>
    <x:t xml:space="preserve">3-1</x:t>
  </x:si>
  <x:si>
    <x:t xml:space="preserve">Practical examples or specific applications are included where useful.</x:t>
  </x:si>
  <x:si>
    <x:t xml:space="preserve">3-2</x:t>
  </x:si>
  <x:si>
    <x:t xml:space="preserve">Readers receive actionable advice or decision-making guidance.</x:t>
  </x:si>
  <x:si>
    <x:t xml:space="preserve">3-3</x:t>
  </x:si>
  <x:si>
    <x:t xml:space="preserve">Useful comparisons, specifications, or trade-offs are explained.</x:t>
  </x:si>
  <x:si>
    <x:t xml:space="preserve">3-4</x:t>
  </x:si>
  <x:si>
    <x:t xml:space="preserve">The content offers insights relevant to real packaging purchasing decisions.</x:t>
  </x:si>
  <x:si>
    <x:t xml:space="preserve">Ordering example lacks clearance and specification context</x:t>
  </x:si>
  <x:si>
    <x:t xml:space="preserve">FZ-B01-04</x:t>
  </x:si>
  <x:si>
    <x:t xml:space="preserve">3-5</x:t>
  </x:si>
  <x:si>
    <x:t xml:space="preserve">There is no evident substantial duplication or unattributed copying.</x:t>
  </x:si>
  <x:si>
    <x:t xml:space="preserve">4-0</x:t>
  </x:si>
  <x:si>
    <x:t xml:space="preserve">Structure &amp; Readability</x:t>
  </x:si>
  <x:si>
    <x:t xml:space="preserve">The introduction is concise and relevant.</x:t>
  </x:si>
  <x:si>
    <x:t xml:space="preserve">4-1</x:t>
  </x:si>
  <x:si>
    <x:t xml:space="preserve">Headings are descriptive, clear, and logically organized.</x:t>
  </x:si>
  <x:si>
    <x:t xml:space="preserve">Step headings organized length→width→height→volume; sample dimensions listed.</x:t>
  </x:si>
  <x:si>
    <x:t xml:space="preserve">4-2</x:t>
  </x:si>
  <x:si>
    <x:t xml:space="preserve">Paragraphs and sentences are easy to follow.</x:t>
  </x:si>
  <x:si>
    <x:t xml:space="preserve">4-3</x:t>
  </x:si>
  <x:si>
    <x:t xml:space="preserve">The article progresses logically without unnecessary repetition.</x:t>
  </x:si>
  <x:si>
    <x:t xml:space="preserve">4-4</x:t>
  </x:si>
  <x:si>
    <x:t xml:space="preserve">Tables, lists, and examples improve understanding where appropriate.</x:t>
  </x:si>
  <x:si>
    <x:t xml:space="preserve">4-5</x:t>
  </x:si>
  <x:si>
    <x:t xml:space="preserve">The conclusion summarizes useful takeaways or next steps.</x:t>
  </x:si>
  <x:si>
    <x:t xml:space="preserve">5-0</x:t>
  </x:si>
  <x:si>
    <x:t xml:space="preserve">Keyword Integration</x:t>
  </x:si>
  <x:si>
    <x:t xml:space="preserve">The primary keyword is used naturally in relevant locations.</x:t>
  </x:si>
  <x:si>
    <x:t xml:space="preserve">Exact and variant query terms appear naturally in title, sections and terminology.</x:t>
  </x:si>
  <x:si>
    <x:t xml:space="preserve">5-1</x:t>
  </x:si>
  <x:si>
    <x:t xml:space="preserve">Supporting terms and variations fit the article’s context.</x:t>
  </x:si>
  <x:si>
    <x:t xml:space="preserve">5-2</x:t>
  </x:si>
  <x:si>
    <x:t xml:space="preserve">Headings are descriptive rather than keyword-stuffed.</x:t>
  </x:si>
  <x:si>
    <x:t xml:space="preserve">5-3</x:t>
  </x:si>
  <x:si>
    <x:t xml:space="preserve">There is no excessive exact-match keyword repetition.</x:t>
  </x:si>
  <x:si>
    <x:t xml:space="preserve">5-4</x:t>
  </x:si>
  <x:si>
    <x:t xml:space="preserve">The article consistently addresses one coherent primary intent.</x:t>
  </x:si>
  <x:si>
    <x:t xml:space="preserve">6-0</x:t>
  </x:si>
  <x:si>
    <x:t xml:space="preserve">B2B Audience &amp; Commercial Alignment</x:t>
  </x:si>
  <x:si>
    <x:t xml:space="preserve">The intended business buyer is clearly identifiable.</x:t>
  </x:si>
  <x:si>
    <x:t xml:space="preserve">6-1</x:t>
  </x:si>
  <x:si>
    <x:t xml:space="preserve">The content addresses practical business or procurement needs.</x:t>
  </x:si>
  <x:si>
    <x:t xml:space="preserve">6-2</x:t>
  </x:si>
  <x:si>
    <x:t xml:space="preserve">Relevant considerations such as MOQ, customization, materials, printing, or lead times are explained where appropriate.</x:t>
  </x:si>
  <x:si>
    <x:t xml:space="preserve">N/A</x:t>
  </x:si>
  <x:si>
    <x:t xml:space="preserve">Not a necessary condition for this article’s search intent; no penalty.</x:t>
  </x:si>
  <x:si>
    <x:t xml:space="preserve">6-3</x:t>
  </x:si>
  <x:si>
    <x:t xml:space="preserve">The content supports an informed product or packaging decision.</x:t>
  </x:si>
  <x:si>
    <x:t xml:space="preserve">6-4</x:t>
  </x:si>
  <x:si>
    <x:t xml:space="preserve">Product or category references are contextually relevant.</x:t>
  </x:si>
  <x:si>
    <x:t xml:space="preserve">Links to cardboard, mailer and rigid box products; quote CTA is contextual.</x:t>
  </x:si>
  <x:si>
    <x:t xml:space="preserve">6-5</x:t>
  </x:si>
  <x:si>
    <x:t xml:space="preserve">Commercial calls to action are helpful and appropriate to the article’s intent.</x:t>
  </x:si>
  <x:si>
    <x:t xml:space="preserve">7-0</x:t>
  </x:si>
  <x:si>
    <x:t xml:space="preserve">Internal Linking</x:t>
  </x:si>
  <x:si>
    <x:t xml:space="preserve">Relevant internal links are included where useful.</x:t>
  </x:si>
  <x:si>
    <x:t xml:space="preserve">Article body includes several packaging product-category contextual links.</x:t>
  </x:si>
  <x:si>
    <x:t xml:space="preserve">7-1</x:t>
  </x:si>
  <x:si>
    <x:t xml:space="preserve">Anchor text clearly describes the destination.</x:t>
  </x:si>
  <x:si>
    <x:t xml:space="preserve">7-2</x:t>
  </x:si>
  <x:si>
    <x:t xml:space="preserve">Linked product, category, or informational pages are contextually relevant.</x:t>
  </x:si>
  <x:si>
    <x:t xml:space="preserve">7-3</x:t>
  </x:si>
  <x:si>
    <x:t xml:space="preserve">Links lead to appropriate working destinations.</x:t>
  </x:si>
  <x:si>
    <x:t xml:space="preserve">NOT VERIFIED</x:t>
  </x:si>
  <x:si>
    <x:t xml:space="preserve">External link destination checks were not independently performed; no penalty.</x:t>
  </x:si>
  <x:si>
    <x:t xml:space="preserve">7-4</x:t>
  </x:si>
  <x:si>
    <x:t xml:space="preserve">Important natural internal linking opportunities are not overlooked.</x:t>
  </x:si>
  <x:si>
    <x:t xml:space="preserve">8-0</x:t>
  </x:si>
  <x:si>
    <x:t xml:space="preserve">Grammar &amp; Editorial Quality</x:t>
  </x:si>
  <x:si>
    <x:t xml:space="preserve">Grammar, spelling, and punctuation are correct.</x:t>
  </x:si>
  <x:si>
    <x:t xml:space="preserve">8-1</x:t>
  </x:si>
  <x:si>
    <x:t xml:space="preserve">American English conventions are applied consistently.</x:t>
  </x:si>
  <x:si>
    <x:t xml:space="preserve">American English units and vocabulary; instructional text broadly comprehensible.</x:t>
  </x:si>
  <x:si>
    <x:t xml:space="preserve">8-2</x:t>
  </x:si>
  <x:si>
    <x:t xml:space="preserve">Sentences sound natural and professional.</x:t>
  </x:si>
  <x:si>
    <x:t xml:space="preserve">8-3</x:t>
  </x:si>
  <x:si>
    <x:t xml:space="preserve">Terminology and brand voice remain consistent.</x:t>
  </x:si>
  <x:si>
    <x:t xml:space="preserve">8-4</x:t>
  </x:si>
  <x:si>
    <x:t xml:space="preserve">Filler, awkward phrasing, and unnecessary repetition are minimized.</x:t>
  </x:si>
  <x:si>
    <x:t xml:space="preserve">8-5</x:t>
  </x:si>
  <x:si>
    <x:t xml:space="preserve">Claims avoid exaggerated or unsupported promotional language.</x:t>
  </x:si>
  <x:si>
    <x:t xml:space="preserve">Lead states 2.5×3.5-inch baseball-card dimensions; title includes inches/cm/mm.</x:t>
  </x:si>
  <x:si>
    <x:t xml:space="preserve">Penny sleeves incorrectly described as boxes</x:t>
  </x:si>
  <x:si>
    <x:t xml:space="preserve">FZ-B02-03</x:t>
  </x:si>
  <x:si>
    <x:t xml:space="preserve">Wrong date assigned to modern standard size | PSA slab table contradicts its later measurement</x:t>
  </x:si>
  <x:si>
    <x:t xml:space="preserve">Wrong date assigned to modern standard size</x:t>
  </x:si>
  <x:si>
    <x:t xml:space="preserve">FZ-B02-01</x:t>
  </x:si>
  <x:si>
    <x:t xml:space="preserve">Wrong date assigned to modern standard size | PSA slab table contradicts its later measurement | Card size alone is overstated as authentication proof</x:t>
  </x:si>
  <x:si>
    <x:t xml:space="preserve">FZ-B02-01, FZ-B02-02, FZ-B02-04</x:t>
  </x:si>
  <x:si>
    <x:t xml:space="preserve">63.5×88.9 mm corresponds to 2.5×3.5 in; 5:7 aspect ratio correctly calculated.</x:t>
  </x:si>
  <x:si>
    <x:t xml:space="preserve">Historical sizes, standard size, slabs, storage and design coverage provided.</x:t>
  </x:si>
  <x:si>
    <x:t xml:space="preserve">Standard size conversion, aspect-ratio computation and reference chart provided.</x:t>
  </x:si>
  <x:si>
    <x:t xml:space="preserve">PSA slab table contradicts its later measurement | Card size alone is overstated as authentication proof</x:t>
  </x:si>
  <x:si>
    <x:t xml:space="preserve">FZ-B02-02, FZ-B02-04</x:t>
  </x:si>
  <x:si>
    <x:t xml:space="preserve">Headings distinguish size chart, grading holders, storage and FAQs.</x:t>
  </x:si>
  <x:si>
    <x:t xml:space="preserve">Title and major headings explicitly cover baseball card dimensions.</x:t>
  </x:si>
  <x:si>
    <x:t xml:space="preserve">Designers/manufacturers addressed in intro and design section.</x:t>
  </x:si>
  <x:si>
    <x:t xml:space="preserve">Contextual link to relevant standard card-size information.</x:t>
  </x:si>
  <x:si>
    <x:t xml:space="preserve">US customary units with metric equivalents; general spelling predominantly US.</x:t>
  </x:si>
  <x:si>
    <x:t xml:space="preserve">Title and main H2 target holiday packaging design with brand logo.</x:t>
  </x:si>
  <x:si>
    <x:t xml:space="preserve">Pantone/CMYK, dielines, proofing and finishing discussed with basic definitions.</x:t>
  </x:si>
  <x:si>
    <x:t xml:space="preserve">Logo placement, themes, colors, finishes, materials, dieline and proofing covered.</x:t>
  </x:si>
  <x:si>
    <x:t xml:space="preserve">Eight numbered design steps, including branding and proofing, are provided.</x:t>
  </x:si>
  <x:si>
    <x:t xml:space="preserve">Eight sequential design-step H3 headings with relevant subsections.</x:t>
  </x:si>
  <x:si>
    <x:t xml:space="preserve">Holiday packaging with logo phrase in heading; supporting production terminology.</x:t>
  </x:si>
  <x:si>
    <x:t xml:space="preserve">Commercial target is retail businesses considering branded packaging.</x:t>
  </x:si>
  <x:si>
    <x:t xml:space="preserve">Several internal contextual links to gift/Christmas and sustainable packaging.</x:t>
  </x:si>
  <x:si>
    <x:t xml:space="preserve">US audience, holiday retail vocabulary and general US usage.</x:t>
  </x:si>
  <x:si>
    <x:t xml:space="preserve">Title promises types of invitation cards; flat, folded, pocket and all-in-one formats are listed.</x:t>
  </x:si>
  <x:si>
    <x:t xml:space="preserve">Descriptions of basic flat, folded and pocket formats generally align with their physical form.</x:t>
  </x:si>
  <x:si>
    <x:t xml:space="preserve">Format types, common occasions, size table, selection factors and FAQs included.</x:t>
  </x:si>
  <x:si>
    <x:t xml:space="preserve">Comparison table supports format-by-event selection; sizes A2 and A7 stated.</x:t>
  </x:si>
  <x:si>
    <x:t xml:space="preserve">Main type section uses numbered subheadings; separate size and selection sections.</x:t>
  </x:si>
  <x:si>
    <x:t xml:space="preserve">Primary topic and natural variations such as flat and folded cards used.</x:t>
  </x:si>
  <x:si>
    <x:t xml:space="preserve">Print247 custom invitation CTA and paper/finish selection references.</x:t>
  </x:si>
  <x:si>
    <x:t xml:space="preserve">Invitation-card, folded-card and cardstock contextual links appear.</x:t>
  </x:si>
  <x:si>
    <x:t xml:space="preserve">US invitation sizes in inches; spelling generally American.</x:t>
  </x:si>
  <x:si>
    <x:t xml:space="preserve">Title directly identifies vinyl-vs-paper choice and introductory selection factors.</x:t>
  </x:si>
  <x:si>
    <x:t xml:space="preserve">Face stock is incorrectly equated with adhesive behavior</x:t>
  </x:si>
  <x:si>
    <x:t xml:space="preserve">FZ-B05-02</x:t>
  </x:si>
  <x:si>
    <x:t xml:space="preserve">Vinyl scratch/fade durability expressed as invulnerability | Face stock is incorrectly equated with adhesive behavior</x:t>
  </x:si>
  <x:si>
    <x:t xml:space="preserve">Vinyl scratch/fade durability expressed as invulnerability | Paper-sticker recyclability generalized</x:t>
  </x:si>
  <x:si>
    <x:t xml:space="preserve">FZ-B05-01, FZ-B05-03</x:t>
  </x:si>
  <x:si>
    <x:t xml:space="preserve">Vinyl scratch/fade durability expressed as invulnerability</x:t>
  </x:si>
  <x:si>
    <x:t xml:space="preserve">FZ-B05-01</x:t>
  </x:si>
  <x:si>
    <x:t xml:space="preserve">Sticker face stock, adhesive, and liner are differentiated; general material comparison present.</x:t>
  </x:si>
  <x:si>
    <x:t xml:space="preserve">Materials, weather resistance, adhesives, printing, costs and applications described.</x:t>
  </x:si>
  <x:si>
    <x:t xml:space="preserve">Feature table and when-to-use sections offer clear option comparisons.</x:t>
  </x:si>
  <x:si>
    <x:t xml:space="preserve">Separate material sections, side-by-side table, use-case guidance, conclusion and FAQ.</x:t>
  </x:si>
  <x:si>
    <x:t xml:space="preserve">Primary comparative keyword and variants integrated in descriptive headings.</x:t>
  </x:si>
  <x:si>
    <x:t xml:space="preserve">Numerous references to branded labels/stickers and bulk purchasing use cases.</x:t>
  </x:si>
  <x:si>
    <x:t xml:space="preserve">Relevant custom sticker and vinyl sticker internal links within narrative.</x:t>
  </x:si>
  <x:si>
    <x:t xml:space="preserve">American market vocabulary and broadly intelligible writing.</x:t>
  </x:si>
  <x:si>
    <x:t xml:space="preserve">Fizza · Verified Article Strengths</x:t>
  </x:si>
  <x:si>
    <x:t xml:space="preserve">Article-specific strengths supported by the published content; line numbers not individually logged in this audit.</x:t>
  </x:si>
  <x:si>
    <x:t xml:space="preserve">Article title</x:t>
  </x:si>
  <x:si>
    <x:t xml:space="preserve">Positive observation</x:t>
  </x:si>
  <x:si>
    <x:t xml:space="preserve">Explains length, width and height in a usable sequence.</x:t>
  </x:si>
  <x:si>
    <x:t xml:space="preserve">See article URL in Article Scores</x:t>
  </x:si>
  <x:si>
    <x:t xml:space="preserve">Includes a correctly calculated volume example (10 × 6 × 4 = 240 cubic inches).</x:t>
  </x:si>
  <x:si>
    <x:t xml:space="preserve">Distinguishes inside and outside dimensions and links to relevant box types.</x:t>
  </x:si>
  <x:si>
    <x:t xml:space="preserve">Gives the correct modern 2.5 × 3.5-inch primary answer, including cm and mm conversions.</x:t>
  </x:si>
  <x:si>
    <x:t xml:space="preserve">Explains the 5:7 aspect ratio and 300-DPI pixel dimensions.</x:t>
  </x:si>
  <x:si>
    <x:t xml:space="preserve">Includes card variation, holder and storage context readers can act on.</x:t>
  </x:si>
  <x:si>
    <x:t xml:space="preserve">Provides a practical numbered design workflow from logo positioning to proofing.</x:t>
  </x:si>
  <x:si>
    <x:t xml:space="preserve">Discusses color systems, dielines and finishes in a commercially relevant way.</x:t>
  </x:si>
  <x:si>
    <x:t xml:space="preserve">Connects festive designs with existing brand identity rather than suggesting generic redesign.</x:t>
  </x:si>
  <x:si>
    <x:t xml:space="preserve">Gives a clear overview of flat, folded, pocket and send-and-seal invitations.</x:t>
  </x:si>
  <x:si>
    <x:t xml:space="preserve">Includes useful size and occasion tables for readers selecting a format.</x:t>
  </x:si>
  <x:si>
    <x:t xml:space="preserve">Discusses materials, event formality and postage in a practical selection guide.</x:t>
  </x:si>
  <x:si>
    <x:t xml:space="preserve">Starts with the core selection factors: durability, usage, cost and printer needs.</x:t>
  </x:si>
  <x:si>
    <x:t xml:space="preserve">Uses a side-by-side table and an actionable paper-versus-vinyl choice discussion.</x:t>
  </x:si>
  <x:si>
    <x:t xml:space="preserve">Suggests a useful hybrid application (vinyl outside, paper for interior seals).</x:t>
  </x:si>
  <x:si>
    <x:t xml:space="preserve">Fizza · Personalized SEO Improvement Guide</x:t>
  </x:si>
  <x:si>
    <x:t xml:space="preserve">Three recurring, consequential priorities — no unnecessary grammar or stylistic nitpicks.</x:t>
  </x:si>
  <x:si>
    <x:t xml:space="preserve">Recurring mistake</x:t>
  </x:si>
  <x:si>
    <x:t xml:space="preserve">Frequency (articles)</x:t>
  </x:si>
  <x:si>
    <x:t xml:space="preserve">Personalized writer guidance</x:t>
  </x:si>
  <x:si>
    <x:t xml:space="preserve">Current balanced content evaluation methodology</x:t>
  </x:si>
  <x:si>
    <x:t xml:space="preserve">Evidence first. Outcomes matter. Stylistic choices are not ranking requirements.</x:t>
  </x:si>
  <x:si>
    <x:t xml:space="preserve">Classification</x:t>
  </x:si>
  <x:si>
    <x:t xml:space="preserve">Interpretation</x:t>
  </x:si>
  <x:si>
    <x:t xml:space="preserve">Automatic penalty?</x:t>
  </x:si>
  <x:si>
    <x:t xml:space="preserve">Publication implication</x:t>
  </x:si>
  <x:si>
    <x:t xml:space="preserve">Evidence standard</x:t>
  </x:si>
  <x:si>
    <x:t xml:space="preserve">Satisfies the article-specific requirement</x:t>
  </x:si>
  <x:si>
    <x:t xml:space="preserve">No</x:t>
  </x:si>
  <x:si>
    <x:t xml:space="preserve">Keep</x:t>
  </x:si>
  <x:si>
    <x:t xml:space="preserve">Relevant published text</x:t>
  </x:si>
  <x:si>
    <x:t xml:space="preserve">Legitimate alternate editorial approach</x:t>
  </x:si>
  <x:si>
    <x:t xml:space="preserve">Keep or optional refinement</x:t>
  </x:si>
  <x:si>
    <x:t xml:space="preserve">No arbitrary answer-first/location mandate</x:t>
  </x:si>
  <x:si>
    <x:t xml:space="preserve">Meaningful, noncritical limitation</x:t>
  </x:si>
  <x:si>
    <x:t xml:space="preserve">Proportionate within dimension</x:t>
  </x:si>
  <x:si>
    <x:t xml:space="preserve">Schedule an improvement</x:t>
  </x:si>
  <x:si>
    <x:t xml:space="preserve">Quote or documented missing decision element</x:t>
  </x:si>
  <x:si>
    <x:t xml:space="preserve">Meaningful holistic impact; do NOT multiply across checklist</x:t>
  </x:si>
  <x:si>
    <x:t xml:space="preserve">Correct or formally substantiate before release</x:t>
  </x:si>
  <x:si>
    <x:t xml:space="preserve">Exact source text + reason</x:t>
  </x:si>
  <x:si>
    <x:t xml:space="preserve">Not relevant to this article</x:t>
  </x:si>
  <x:si>
    <x:t xml:space="preserve">No / excluded</x:t>
  </x:si>
  <x:si>
    <x:t xml:space="preserve">None</x:t>
  </x:si>
  <x:si>
    <x:t xml:space="preserve">Reason applicability does not exist</x:t>
  </x:si>
  <x:si>
    <x:t xml:space="preserve">Independent evidence unavailable</x:t>
  </x:si>
  <x:si>
    <x:t xml:space="preserve">No / excluded pending test</x:t>
  </x:si>
  <x:si>
    <x:t xml:space="preserve">Test only when decision-critical</x:t>
  </x:si>
  <x:si>
    <x:t xml:space="preserve">Explicitly state missing verification</x:t>
  </x:si>
  <x:si>
    <x:t xml:space="preserve">Weight</x:t>
  </x:si>
  <x:si>
    <x:t xml:space="preserve">Scoring formula</x:t>
  </x:si>
  <x:si>
    <x:t xml:space="preserve">What determines rating</x:t>
  </x:si>
  <x:si>
    <x:t xml:space="preserve">SEO policy relation</x:t>
  </x:si>
  <x:si>
    <x:t xml:space="preserve">Weight × (holistic rating ÷ 5)</x:t>
  </x:si>
  <x:si>
    <x:t xml:space="preserve">0–5, 0.5 increments; no pass-count conversion</x:t>
  </x:si>
  <x:si>
    <x:t xml:space="preserve">Google favors helpful, reliable, relevant writing, not fixed intro lengths</x:t>
  </x:si>
  <x:si>
    <x:t xml:space="preserve">SOURCES &amp; VERIFICATION LIMITS</x:t>
  </x:si>
  <x:si>
    <x:t xml:space="preserve">Google Search Central helpful content</x:t>
  </x:si>
  <x:si>
    <x:t xml:space="preserve">https://developers.google.com/search/docs/fundamentals/creating-helpful-content</x:t>
  </x:si>
  <x:si>
    <x:t xml:space="preserve">Google SEO Starter Guide</x:t>
  </x:si>
  <x:si>
    <x:t xml:space="preserve">https://developers.google.com/search/docs/fundamentals/seo-starter-guide</x:t>
  </x:si>
  <x:si>
    <x:t xml:space="preserve">PSA on baseball-card sizing</x:t>
  </x:si>
  <x:si>
    <x:t xml:space="preserve">https://www.psacard.com/articles/articleview/5424/psa-set-registry-1957-topps-baseball-cards-setting-standard</x:t>
  </x:si>
  <x:si>
    <x:t xml:space="preserve">FTC environmental marketing guidance</x:t>
  </x:si>
  <x:si>
    <x:t xml:space="preserve">https://www.ftc.gov/business-guidance/resources/environmental-claims-summary-green-guides</x:t>
  </x:si>
  <x:si>
    <x:t xml:space="preserve">Manufacturer-specific print / adhesive specifications</x:t>
  </x:si>
  <x:si>
    <x:t xml:space="preserve">Verify directly with Print247 / supplier before presenting measurable guarantees</x:t>
  </x:si>
  <x:si>
    <x:t xml:space="preserve">Not independently verified: plagiarism, live-page screenshot captures, exhaustive link HTTP responses, or current supplier production claims. Evidence exhibits are annotated text reproductions.</x:t>
  </x:si>
  <x:si>
    <x:t xml:space="preserve">ISSUE</x:t>
  </x:si>
  <x:si>
    <x:t xml:space="preserve">ARTICLE</x:t>
  </x:si>
  <x:si>
    <x:t xml:space="preserve">EDITORIAL VERDICT</x:t>
  </x:si>
  <x:si>
    <x:t xml:space="preserve">BUSINESS ACTION</x:t>
  </x:si>
  <x:si>
    <x:t xml:space="preserve">RATIONALE</x:t>
  </x:si>
  <x:si>
    <x:t xml:space="preserve">REFERENCE</x:t>
  </x:si>
  <x:si>
    <x:t xml:space="preserve">GENERAL-01</x:t>
  </x:si>
  <x:si>
    <x:t xml:space="preserve">All articles</x:t>
  </x:si>
  <x:si>
    <x:t xml:space="preserve">No penalty for reasonable introductions</x:t>
  </x:si>
  <x:si>
    <x:t xml:space="preserve">Relevant background before instructions or definitions is acceptable; answer-first is not a fixed SEO requirement.</x:t>
  </x:si>
  <x:si>
    <x:t xml:space="preserve">GENERAL-02</x:t>
  </x:si>
  <x:si>
    <x:t xml:space="preserve">No penalty for routine promotion</x:t>
  </x:si>
  <x:si>
    <x:t xml:space="preserve">“Premium,” “best,” and “ensure timely delivery” are normal B2B positioning. Distinguish them from measurable guarantees.</x:t>
  </x:si>
  <x:si>
    <x:t xml:space="preserve">https://www.ftc.gov/business-guidance/advertising-marketing</x:t>
  </x:si>
  <x:si>
    <x:t xml:space="preserve">GENERAL-03</x:t>
  </x:si>
  <x:si>
    <x:t xml:space="preserve">Avoid trivial edits and heading preferences</x:t>
  </x:si>
  <x:si>
    <x:t xml:space="preserve">Minor stylistic choices, punctuation and optional heading rewording are not independent failures.</x:t>
  </x:si>
  <x:si>
    <x:t xml:space="preserve">Cardboard dimensions</x:t>
  </x:si>
  <x:si>
    <x:t xml:space="preserve">Correct printed girth formula</x:t>
  </x:si>
  <x:si>
    <x:t xml:space="preserve">Written formula contradicts example. Girth = 2 × (width + height).</x:t>
  </x:si>
  <x:si>
    <x:t xml:space="preserve">FZ-B02-01/02</x:t>
  </x:si>
  <x:si>
    <x:t xml:space="preserve">Verify exact dates and size tables</x:t>
  </x:si>
  <x:si>
    <x:t xml:space="preserve">Modern card standard dates to 1957; printed slab dimensions also conflict.</x:t>
  </x:si>
  <x:si>
    <x:t xml:space="preserve">FZ-B03-01</x:t>
  </x:si>
  <x:si>
    <x:t xml:space="preserve">FZ-ARTICLE04</x:t>
  </x:si>
  <x:si>
    <x:t xml:space="preserve">No fabricated envelope issue / avoid style nitpicks</x:t>
  </x:si>
  <x:si>
    <x:t xml:space="preserve">Do not treat a 4 × 6-inch card with a US A4 envelope as a proven error without dimensional verification.</x:t>
  </x:si>
  <x:si>
    <x:t xml:space="preserve">GENERAL-04</x:t>
  </x:si>
  <x:si>
    <x:t xml:space="preserve">All writers</x:t>
  </x:si>
  <x:si>
    <x:t xml:space="preserve">ACCEPTABLE / VERIFY</x:t>
  </x:si>
  <x:si>
    <x:t xml:space="preserve">Escalate measurable absolute production guarantees</x:t>
  </x:si>
  <x:si>
    <x:t xml:space="preserve">“Inch-perfect on every piece” warrants commercial validation and careful copy, not an automatic writer FAIL or allegation of legal breach.</x:t>
  </x:si>
  <x:si>
    <x:t xml:space="preserve">https://www.law.cornell.edu/ucc/2/2-313</x:t>
  </x:si>
</x:sst>
</file>

<file path=xl/styles.xml><?xml version="1.0" encoding="utf-8"?>
<x:styleSheet xmlns:x="http://schemas.openxmlformats.org/spreadsheetml/2006/main">
  <x:numFmts count="1">
    <x:numFmt numFmtId="164" formatCode="0.0"/>
  </x:numFmts>
  <x:fonts count="10">
    <x:font>
      <x:sz val="11"/>
      <x:name val="Carlito"/>
    </x:font>
    <x:font>
      <x:b/>
      <x:sz val="17"/>
      <x:color rgb="FFFFFFFF"/>
      <x:name val="Carlito"/>
    </x:font>
    <x:font>
      <x:i/>
      <x:sz val="10"/>
      <x:color rgb="FF66758A"/>
      <x:name val="Carlito"/>
    </x:font>
    <x:font>
      <x:b/>
      <x:sz val="10"/>
      <x:color rgb="FFFFFFFF"/>
      <x:name val="Carlito"/>
    </x:font>
    <x:font>
      <x:sz val="11"/>
      <x:color rgb="FF66758A"/>
      <x:name val="Carlito"/>
    </x:font>
    <x:font>
      <x:b/>
      <x:sz val="11"/>
      <x:color rgb="FF14253E"/>
      <x:name val="Carlito"/>
    </x:font>
    <x:font>
      <x:b/>
      <x:sz val="14"/>
      <x:color rgb="FF0E7490"/>
      <x:name val="Carlito"/>
    </x:font>
    <x:font>
      <x:i/>
      <x:sz val="11"/>
      <x:color rgb="FF66758A"/>
      <x:name val="Carlito"/>
    </x:font>
    <x:font>
      <x:b/>
      <x:sz val="11"/>
      <x:name val="Carlito"/>
    </x:font>
    <x:font>
      <x:b/>
      <x:sz val="11"/>
      <x:color rgb="FF9C0006"/>
      <x:name val="Carlito"/>
    </x:font>
  </x:fonts>
  <x:fills count="5">
    <x:fill>
      <x:patternFill patternType="none"/>
    </x:fill>
    <x:fill>
      <x:patternFill patternType="gray125"/>
    </x:fill>
    <x:fill>
      <x:patternFill patternType="solid">
        <x:fgColor rgb="FF14253E"/>
      </x:patternFill>
    </x:fill>
    <x:fill>
      <x:patternFill patternType="solid">
        <x:fgColor rgb="FFEDF4F8"/>
      </x:patternFill>
    </x:fill>
    <x:fill>
      <x:patternFill patternType="solid">
        <x:fgColor rgb="FFFCE8E6"/>
      </x:patternFill>
    </x:fill>
  </x:fills>
  <x:borders count="1">
    <x:border>
      <x:left/>
      <x:right/>
      <x:top/>
      <x:bottom/>
      <x:diagonal/>
    </x:border>
  </x:borders>
  <x:cellStyleXfs count="1">
    <x:xf numFmtId="0" fontId="0" fillId="0" borderId="0"/>
  </x:cellStyleXfs>
  <x:cellXfs count="17">
    <x:xf numFmtId="0" fontId="0" fillId="0" borderId="0" xfId="0"/>
    <x:xf numFmtId="0" fontId="3" fillId="2" borderId="0" xfId="0" applyFont="1" applyFill="1" applyAlignment="1">
      <x:alignment vertical="center" wrapText="1"/>
    </x:xf>
    <x:xf numFmtId="0" fontId="0" fillId="0" borderId="0" xfId="0" applyAlignment="1">
      <x:alignment wrapText="1"/>
    </x:xf>
    <x:xf numFmtId="164" fontId="0" fillId="0" borderId="0" xfId="0" applyNumberFormat="1" applyAlignment="1">
      <x:alignment wrapText="1"/>
    </x:xf>
    <x:xf numFmtId="0" fontId="5" fillId="3" borderId="0" xfId="0" applyFont="1" applyFill="1"/>
    <x:xf numFmtId="0" fontId="6" fillId="0" borderId="0" xfId="0" applyFont="1"/>
    <x:xf numFmtId="164" fontId="6" fillId="0" borderId="0" xfId="0" applyNumberFormat="1" applyFont="1"/>
    <x:xf numFmtId="0" fontId="1" fillId="2" borderId="0" xfId="0" applyFont="1" applyFill="1"/>
    <x:xf numFmtId="0" fontId="4" fillId="0" borderId="0" xfId="0" applyFont="1"/>
    <x:xf numFmtId="0" fontId="5" fillId="3" borderId="0" xfId="0" applyFont="1" applyFill="1"/>
    <x:xf numFmtId="0" fontId="7" fillId="0" borderId="0" xfId="0" applyFont="1" applyAlignment="1">
      <x:alignment wrapText="1"/>
    </x:xf>
    <x:xf numFmtId="0" fontId="2" fillId="0" borderId="0" xfId="0" applyFont="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5" fillId="0" borderId="0" xfId="0" applyNumberFormat="1" applyFont="1" applyFill="1" applyBorder="1"/>
    <x:xf numFmtId="0" fontId="9" fillId="0" borderId="0" xfId="0" applyNumberFormat="1" applyFont="1" applyFill="1" applyBorder="1" applyAlignment="1">
      <x:alignment vertical="center" wrapText="1"/>
    </x:xf>
    <x:xf numFmtId="0" fontId="9"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abe69459ec499a" /><Relationship Type="http://schemas.openxmlformats.org/officeDocument/2006/relationships/theme" Target="/xl/theme/theme1.xml" Id="Rff51c82b4cbd4dfe" /><Relationship Type="http://schemas.openxmlformats.org/officeDocument/2006/relationships/sharedStrings" Target="/xl/sharedStrings.xml" Id="Rbe6938311b0549db" /><Relationship Type="http://schemas.openxmlformats.org/officeDocument/2006/relationships/worksheet" Target="/xl/worksheets/sheet1.xml" Id="R43580f811d124b72" /><Relationship Type="http://schemas.openxmlformats.org/officeDocument/2006/relationships/worksheet" Target="/xl/worksheets/sheet2.xml" Id="Rd57bec4928804d6f" /><Relationship Type="http://schemas.openxmlformats.org/officeDocument/2006/relationships/worksheet" Target="/xl/worksheets/sheet3.xml" Id="R5348c90f26a24272" /><Relationship Type="http://schemas.openxmlformats.org/officeDocument/2006/relationships/worksheet" Target="/xl/worksheets/sheet4.xml" Id="R73b437ae65f347b7" /><Relationship Type="http://schemas.openxmlformats.org/officeDocument/2006/relationships/worksheet" Target="/xl/worksheets/sheet5.xml" Id="R0f97aa74ce3a4214" /><Relationship Type="http://schemas.openxmlformats.org/officeDocument/2006/relationships/worksheet" Target="/xl/worksheets/sheet6.xml" Id="R728d45a4070e4dfc" /><Relationship Type="http://schemas.openxmlformats.org/officeDocument/2006/relationships/worksheet" Target="/xl/worksheets/sheet7.xml" Id="R5851499f58174acd" /><Relationship Type="http://schemas.openxmlformats.org/officeDocument/2006/relationships/worksheet" Target="/xl/worksheets/sheet8.xml" Id="R3a87be4698f3486c" /><Relationship Type="http://schemas.openxmlformats.org/officeDocument/2006/relationships/worksheet" Target="/xl/worksheets/sheet9.xml" Id="R45af81b3b3804f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59" customWidth="1"/>
    <x:col min="2" max="2" width="20" customWidth="1"/>
    <x:col min="3" max="4" width="18" customWidth="1"/>
    <x:col min="5" max="5" width="55" customWidth="1"/>
    <x:col min="6" max="6" width="19" customWidth="1"/>
    <x:col min="7" max="8" width="21" customWidth="1"/>
  </x:cols>
  <x:sheetData>
    <x:row r="1" ht="30.450000762939453" customHeight="1">
      <x:c r="A1" s="7" t="s">
        <x:v>0</x:v>
      </x:c>
      <x:c r="B1" s="7"/>
      <x:c r="C1" s="7"/>
      <x:c r="D1" s="7"/>
      <x:c r="E1" s="7"/>
      <x:c r="F1" s="7"/>
      <x:c r="G1" s="7"/>
      <x:c r="H1" s="7"/>
    </x:row>
    <x:row r="3" ht="21.600000381469727" customHeight="1">
      <x:c r="A3" s="8" t="s">
        <x:v>1</x:v>
      </x:c>
      <x:c r="B3" s="8"/>
      <x:c r="C3" s="8"/>
      <x:c r="D3" s="8"/>
      <x:c r="E3" s="8"/>
      <x:c r="F3" s="8"/>
      <x:c r="G3" s="8"/>
      <x:c r="H3" s="8"/>
    </x:row>
    <x:row r="5" ht="20.850000381469727" customHeight="1">
      <x:c r="A5" s="4" t="s">
        <x:v>2</x:v>
      </x:c>
      <x:c r="B5" s="6" t="n">
        <x:f>AVERAGE('Article Scores'!D6:D10)</x:f>
        <x:v>82.1</x:v>
      </x:c>
    </x:row>
    <x:row r="6" ht="20.850000381469727" customHeight="1">
      <x:c r="A6" s="4" t="s">
        <x:v>3</x:v>
      </x:c>
      <x:c r="B6" s="5">
        <x:v>5</x:v>
      </x:c>
    </x:row>
    <x:row r="7" ht="20.850000381469727" customHeight="1">
      <x:c r="A7" s="4" t="s">
        <x:v>4</x:v>
      </x:c>
      <x:c r="B7" s="5">
        <x:v>70</x:v>
      </x:c>
    </x:row>
    <x:row r="8" ht="20.850000381469727" customHeight="1">
      <x:c r="A8" s="4" t="str">
        <x:v>Active scored issues</x:v>
      </x:c>
      <x:c r="B8" s="5" t="n">
        <x:f>SUM(B9:B10)</x:f>
        <x:v>10</x:v>
      </x:c>
    </x:row>
    <x:row r="9" ht="20.850000381469727" customHeight="1">
      <x:c r="A9" s="4" t="s">
        <x:v>5</x:v>
      </x:c>
      <x:c r="B9" s="5" t="n">
        <x:f>SUM('Article Scores'!E6:E10)</x:f>
        <x:v>5</x:v>
      </x:c>
    </x:row>
    <x:row r="10" ht="20.850000381469727" customHeight="1">
      <x:c r="A10" s="4" t="s">
        <x:v>6</x:v>
      </x:c>
      <x:c r="B10" s="5" t="n">
        <x:f>SUM('Article Scores'!F6:F10)</x:f>
        <x:v>5</x:v>
      </x:c>
    </x:row>
    <x:row r="12" ht="25.649999618530273" customHeight="1">
      <x:c r="A12" s="1" t="s">
        <x:v>7</x:v>
      </x:c>
      <x:c r="B12" s="1" t="s">
        <x:v>8</x:v>
      </x:c>
      <x:c r="C12" s="1" t="s">
        <x:v>9</x:v>
      </x:c>
      <x:c r="D12" s="1" t="s">
        <x:v>10</x:v>
      </x:c>
      <x:c r="E12" s="1" t="s">
        <x:v>11</x:v>
      </x:c>
    </x:row>
    <x:row r="13" ht="30.450000762939453" customHeight="1">
      <x:c r="A13" s="2" t="s">
        <x:v>12</x:v>
      </x:c>
      <x:c r="B13" s="3" t="n">
        <x:f>'Article Scores'!D6</x:f>
        <x:v>81</x:v>
      </x:c>
      <x:c r="C13" s="2" t="n">
        <x:f>'Article Scores'!E6</x:f>
        <x:v>1</x:v>
      </x:c>
      <x:c r="D13" s="2" t="n">
        <x:f>'Article Scores'!F6</x:f>
        <x:v>2</x:v>
      </x:c>
      <x:c r="E13" s="2" t="s">
        <x:v>13</x:v>
      </x:c>
    </x:row>
    <x:row r="14" ht="30.450000762939453" customHeight="1">
      <x:c r="A14" s="2" t="s">
        <x:v>14</x:v>
      </x:c>
      <x:c r="B14" s="3" t="n">
        <x:f>'Article Scores'!D7</x:f>
        <x:v>76</x:v>
      </x:c>
      <x:c r="C14" s="2" t="n">
        <x:f>'Article Scores'!E7</x:f>
        <x:v>2</x:v>
      </x:c>
      <x:c r="D14" s="2" t="n">
        <x:f>'Article Scores'!F7</x:f>
        <x:v>2</x:v>
      </x:c>
      <x:c r="E14" s="2" t="s">
        <x:v>13</x:v>
      </x:c>
    </x:row>
    <x:row r="15" ht="30.450000762939453" customHeight="1">
      <x:c r="A15" s="2" t="s">
        <x:v>15</x:v>
      </x:c>
      <x:c r="B15" s="3" t="n">
        <x:f>'Article Scores'!D8</x:f>
        <x:v>89.5</x:v>
      </x:c>
      <x:c r="C15" s="2" t="n">
        <x:f>'Article Scores'!E8</x:f>
        <x:v>0</x:v>
      </x:c>
      <x:c r="D15" s="2" t="n">
        <x:f>'Article Scores'!F8</x:f>
        <x:v>0</x:v>
      </x:c>
      <x:c r="E15" s="2" t="str">
        <x:v>Pass with non-penalizing Pantone guidance</x:v>
      </x:c>
    </x:row>
    <x:row r="16" ht="30.450000762939453" customHeight="1">
      <x:c r="A16" s="2" t="s">
        <x:v>16</x:v>
      </x:c>
      <x:c r="B16" s="3" t="n">
        <x:f>'Article Scores'!D9</x:f>
        <x:v>87.5</x:v>
      </x:c>
      <x:c r="C16" s="2" t="n">
        <x:f>'Article Scores'!E9</x:f>
        <x:v>0</x:v>
      </x:c>
      <x:c r="D16" s="2" t="n">
        <x:f>'Article Scores'!F9</x:f>
        <x:v>0</x:v>
      </x:c>
      <x:c r="E16" s="2" t="str">
        <x:v>Pass; no retained scored findings</x:v>
      </x:c>
    </x:row>
    <x:row r="17" ht="30.450000762939453" customHeight="1">
      <x:c r="A17" s="2" t="s">
        <x:v>17</x:v>
      </x:c>
      <x:c r="B17" s="3" t="n">
        <x:f>'Article Scores'!D10</x:f>
        <x:v>76.5</x:v>
      </x:c>
      <x:c r="C17" s="2" t="n">
        <x:f>'Article Scores'!E10</x:f>
        <x:v>2</x:v>
      </x:c>
      <x:c r="D17" s="2" t="n">
        <x:f>'Article Scores'!F10</x:f>
        <x:v>1</x:v>
      </x:c>
      <x:c r="E17" s="2" t="s">
        <x:v>13</x:v>
      </x:c>
    </x:row>
    <x:row r="20" ht="22.350000381469727" customHeight="1">
      <x:c r="A20" s="9" t="s">
        <x:v>18</x:v>
      </x:c>
      <x:c r="B20" s="9"/>
      <x:c r="C20" s="9"/>
      <x:c r="D20" s="9"/>
      <x:c r="E20" s="9"/>
      <x:c r="F20" s="9"/>
      <x:c r="G20" s="9"/>
      <x:c r="H20" s="9"/>
    </x:row>
    <x:row r="21" ht="27.149999618530273" customHeight="1">
      <x:c r="A21" s="10" t="s">
        <x:v>19</x:v>
      </x:c>
      <x:c r="B21" s="10"/>
      <x:c r="C21" s="10"/>
      <x:c r="D21" s="10"/>
      <x:c r="E21" s="10"/>
      <x:c r="F21" s="10"/>
      <x:c r="G21" s="10"/>
      <x:c r="H21" s="10"/>
    </x:row>
  </x:sheetData>
  <x:mergeCells>
    <x:mergeCell ref="A1:H1"/>
    <x:mergeCell ref="A3:H3"/>
    <x:mergeCell ref="A20:H20"/>
    <x:mergeCell ref="A21:H21"/>
  </x:mergeCells>
  <x:conditionalFormatting sqref="B13:B17">
    <x:cfRule type="dataBar" priority="1">
      <x:dataBar>
        <x:cfvo type="min"/>
        <x:cfvo type="max"/>
        <x:color rgb="FF0E7490"/>
      </x:dataBar>
    </x:cfRule>
    <x:cfRule type="dataBar" priority="2">
      <x:dataBar>
        <x:cfvo type="min"/>
        <x:cfvo type="max"/>
        <x:color rgb="FF0E7490"/>
      </x:dataBar>
      <x:extLst>
        <x:ext xmlns:x14="http://schemas.microsoft.com/office/spreadsheetml/2009/9/main" uri="{B025F937-C7B1-47D3-B67F-A62EFF666E3E}">
          <x14:id>{2D2ACA86-9EB4-6F9D-F087-791D39861742}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2D2ACA86-9EB4-6F9D-F087-791D39861742}">
            <x14:dataBar gradient="0">
              <x14:cfvo type="min"/>
              <x14:cfvo type="max"/>
              <x14:fillColor rgb="FF0E7490"/>
              <x14:negativeFillColor auto="1"/>
              <x14:axisColor auto="1"/>
            </x14:dataBar>
          </x14:cfRule>
          <xm:sqref>B13:B17</xm:sqref>
        </x14:conditionalFormatting>
      </x14:conditionalFormattings>
    </x:ext>
  </x:extLst>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9" customWidth="1"/>
    <x:col min="2" max="2" width="49" customWidth="1"/>
    <x:col min="3" max="3" width="63" customWidth="1"/>
    <x:col min="4" max="6" width="18" customWidth="1"/>
    <x:col min="7" max="7" width="26" customWidth="1"/>
    <x:col min="8" max="8" width="51" customWidth="1"/>
  </x:cols>
  <x:sheetData>
    <x:row r="1" ht="36" customHeight="1">
      <x:c r="A1" s="7" t="s">
        <x:v>20</x:v>
      </x:c>
      <x:c r="B1" s="7"/>
      <x:c r="C1" s="7"/>
      <x:c r="D1" s="7"/>
      <x:c r="E1" s="7"/>
      <x:c r="F1" s="7"/>
      <x:c r="G1" s="7"/>
      <x:c r="H1" s="7"/>
    </x:row>
    <x:row r="3" ht="27" customHeight="1">
      <x:c r="A3" s="11" t="s">
        <x:v>21</x:v>
      </x:c>
      <x:c r="B3" s="11"/>
      <x:c r="C3" s="11"/>
      <x:c r="D3" s="11"/>
      <x:c r="E3" s="11"/>
      <x:c r="F3" s="11"/>
      <x:c r="G3" s="11"/>
      <x:c r="H3" s="11"/>
    </x:row>
    <x:row r="5" ht="31.950000762939453" customHeight="1">
      <x:c r="A5" s="1" t="s">
        <x:v>22</x:v>
      </x:c>
      <x:c r="B5" s="1" t="s">
        <x:v>7</x:v>
      </x:c>
      <x:c r="C5" s="1" t="s">
        <x:v>23</x:v>
      </x:c>
      <x:c r="D5" s="1" t="s">
        <x:v>8</x:v>
      </x:c>
      <x:c r="E5" s="1" t="s">
        <x:v>9</x:v>
      </x:c>
      <x:c r="F5" s="1" t="s">
        <x:v>10</x:v>
      </x:c>
      <x:c r="G5" s="1" t="s">
        <x:v>24</x:v>
      </x:c>
      <x:c r="H5" s="1" t="s">
        <x:v>25</x:v>
      </x:c>
    </x:row>
    <x:row r="6" ht="43.95000076293945" customHeight="1">
      <x:c r="A6" s="2">
        <x:v>1</x:v>
      </x:c>
      <x:c r="B6" s="2" t="s">
        <x:v>12</x:v>
      </x:c>
      <x:c r="C6" s="2" t="s">
        <x:v>26</x:v>
      </x:c>
      <x:c r="D6" s="3" t="n">
        <x:f>SUM('8 Dimensions'!F6:F13)</x:f>
        <x:v>81</x:v>
      </x:c>
      <x:c r="E6" s="2" t="n">
        <x:f>COUNTIFS(Issues!$B$6:$B$16,A6,Issues!$C$6:$C$16,"FAIL")</x:f>
        <x:v>1</x:v>
      </x:c>
      <x:c r="F6" s="2" t="n">
        <x:f>COUNTIFS(Issues!$B$6:$B$16,A6,Issues!$C$6:$C$16,"NEEDS IMPROVEMENT")</x:f>
        <x:v>2</x:v>
      </x:c>
      <x:c r="G6" s="2" t="s">
        <x:v>27</x:v>
      </x:c>
      <x:c r="H6" s="2" t="s">
        <x:v>13</x:v>
      </x:c>
    </x:row>
    <x:row r="7" ht="43.95000076293945" customHeight="1">
      <x:c r="A7" s="2">
        <x:v>2</x:v>
      </x:c>
      <x:c r="B7" s="2" t="s">
        <x:v>14</x:v>
      </x:c>
      <x:c r="C7" s="2" t="s">
        <x:v>28</x:v>
      </x:c>
      <x:c r="D7" s="3" t="n">
        <x:f>SUM('8 Dimensions'!F14:F21)</x:f>
        <x:v>76</x:v>
      </x:c>
      <x:c r="E7" s="2" t="n">
        <x:f>COUNTIFS(Issues!$B$6:$B$16,A7,Issues!$C$6:$C$16,"FAIL")</x:f>
        <x:v>2</x:v>
      </x:c>
      <x:c r="F7" s="2" t="n">
        <x:f>COUNTIFS(Issues!$B$6:$B$16,A7,Issues!$C$6:$C$16,"NEEDS IMPROVEMENT")</x:f>
        <x:v>2</x:v>
      </x:c>
      <x:c r="G7" s="2" t="s">
        <x:v>27</x:v>
      </x:c>
      <x:c r="H7" s="2" t="s">
        <x:v>13</x:v>
      </x:c>
    </x:row>
    <x:row r="8" ht="43.95000076293945" customHeight="1">
      <x:c r="A8" s="2">
        <x:v>3</x:v>
      </x:c>
      <x:c r="B8" s="2" t="s">
        <x:v>15</x:v>
      </x:c>
      <x:c r="C8" s="2" t="s">
        <x:v>29</x:v>
      </x:c>
      <x:c r="D8" s="3" t="n">
        <x:f>SUM('8 Dimensions'!F22:F29)</x:f>
        <x:v>89.5</x:v>
      </x:c>
      <x:c r="E8" s="2" t="n">
        <x:f>COUNTIFS(Issues!$B$6:$B$16,A8,Issues!$C$6:$C$16,"FAIL")</x:f>
        <x:v>0</x:v>
      </x:c>
      <x:c r="F8" s="2" t="n">
        <x:f>COUNTIFS(Issues!$B$6:$B$16,A8,Issues!$C$6:$C$16,"NEEDS IMPROVEMENT")</x:f>
        <x:v>0</x:v>
      </x:c>
      <x:c r="G8" s="2" t="s">
        <x:v>27</x:v>
      </x:c>
      <x:c r="H8" s="2" t="str">
        <x:v>Pass with non-penalizing Pantone guidance</x:v>
      </x:c>
    </x:row>
    <x:row r="9" ht="43.95000076293945" customHeight="1">
      <x:c r="A9" s="2">
        <x:v>4</x:v>
      </x:c>
      <x:c r="B9" s="2" t="s">
        <x:v>16</x:v>
      </x:c>
      <x:c r="C9" s="2" t="s">
        <x:v>30</x:v>
      </x:c>
      <x:c r="D9" s="3" t="n">
        <x:f>SUM('8 Dimensions'!F30:F37)</x:f>
        <x:v>87.5</x:v>
      </x:c>
      <x:c r="E9" s="2" t="n">
        <x:f>COUNTIFS(Issues!$B$6:$B$16,A9,Issues!$C$6:$C$16,"FAIL")</x:f>
        <x:v>0</x:v>
      </x:c>
      <x:c r="F9" s="2" t="n">
        <x:f>COUNTIFS(Issues!$B$6:$B$16,A9,Issues!$C$6:$C$16,"NEEDS IMPROVEMENT")</x:f>
        <x:v>0</x:v>
      </x:c>
      <x:c r="G9" s="2" t="s">
        <x:v>27</x:v>
      </x:c>
      <x:c r="H9" s="2" t="str">
        <x:v>Pass; no retained scored findings</x:v>
      </x:c>
    </x:row>
    <x:row r="10" ht="43.95000076293945" customHeight="1">
      <x:c r="A10" s="2">
        <x:v>5</x:v>
      </x:c>
      <x:c r="B10" s="2" t="s">
        <x:v>17</x:v>
      </x:c>
      <x:c r="C10" s="2" t="s">
        <x:v>31</x:v>
      </x:c>
      <x:c r="D10" s="3" t="n">
        <x:f>SUM('8 Dimensions'!F38:F45)</x:f>
        <x:v>76.5</x:v>
      </x:c>
      <x:c r="E10" s="2" t="n">
        <x:f>COUNTIFS(Issues!$B$6:$B$16,A10,Issues!$C$6:$C$16,"FAIL")</x:f>
        <x:v>2</x:v>
      </x:c>
      <x:c r="F10" s="2" t="n">
        <x:f>COUNTIFS(Issues!$B$6:$B$16,A10,Issues!$C$6:$C$16,"NEEDS IMPROVEMENT")</x:f>
        <x:v>1</x:v>
      </x:c>
      <x:c r="G10" s="2" t="s">
        <x:v>27</x:v>
      </x:c>
      <x:c r="H10" s="2" t="s">
        <x:v>13</x:v>
      </x:c>
    </x:row>
  </x:sheetData>
  <x:mergeCells>
    <x:mergeCell ref="A1:H1"/>
    <x:mergeCell ref="A3:H3"/>
  </x:mergeCells>
  <x:conditionalFormatting sqref="D6:D10">
    <x:cfRule type="dataBar" priority="1">
      <x:dataBar>
        <x:cfvo type="min"/>
        <x:cfvo type="max"/>
        <x:color rgb="FF0E7490"/>
      </x:dataBar>
    </x:cfRule>
    <x:cfRule type="dataBar" priority="2">
      <x:dataBar>
        <x:cfvo type="min"/>
        <x:cfvo type="max"/>
        <x:color rgb="FF0E7490"/>
      </x:dataBar>
      <x:extLst>
        <x:ext xmlns:x14="http://schemas.microsoft.com/office/spreadsheetml/2009/9/main" uri="{B025F937-C7B1-47D3-B67F-A62EFF666E3E}">
          <x14:id>{D21D654A-EC92-0670-6565-E25FCA28AA82}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D21D654A-EC92-0670-6565-E25FCA28AA82}">
            <x14:dataBar gradient="0">
              <x14:cfvo type="min"/>
              <x14:cfvo type="max"/>
              <x14:fillColor rgb="FF0E7490"/>
              <x14:negativeFillColor auto="1"/>
              <x14:axisColor auto="1"/>
            </x14:dataBar>
          </x14:cfRule>
          <xm:sqref>D6:D10</xm:sqref>
        </x14:conditionalFormatting>
      </x14:conditionalFormattings>
    </x:ext>
  </x:extLst>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1" customWidth="1"/>
    <x:col min="2" max="2" width="24" customWidth="1"/>
    <x:col min="3" max="3" width="39" customWidth="1"/>
    <x:col min="4" max="4" width="14" customWidth="1"/>
    <x:col min="5" max="5" width="15" customWidth="1"/>
    <x:col min="6" max="6" width="20" customWidth="1"/>
    <x:col min="7" max="7" width="31" customWidth="1"/>
    <x:col min="8" max="8" width="107" customWidth="1"/>
  </x:cols>
  <x:sheetData>
    <x:row r="1" ht="36" customHeight="1">
      <x:c r="A1" s="7" t="s">
        <x:v>32</x:v>
      </x:c>
      <x:c r="B1" s="7"/>
      <x:c r="C1" s="7"/>
      <x:c r="D1" s="7"/>
      <x:c r="E1" s="7"/>
      <x:c r="F1" s="7"/>
      <x:c r="G1" s="7"/>
      <x:c r="H1" s="7"/>
    </x:row>
    <x:row r="3" ht="27" customHeight="1">
      <x:c r="A3" s="11" t="s">
        <x:v>33</x:v>
      </x:c>
      <x:c r="B3" s="11"/>
      <x:c r="C3" s="11"/>
      <x:c r="D3" s="11"/>
      <x:c r="E3" s="11"/>
      <x:c r="F3" s="11"/>
      <x:c r="G3" s="11"/>
      <x:c r="H3" s="11"/>
    </x:row>
    <x:row r="5" ht="31.950000762939453" customHeight="1">
      <x:c r="A5" s="1" t="s">
        <x:v>34</x:v>
      </x:c>
      <x:c r="B5" s="1" t="s">
        <x:v>7</x:v>
      </x:c>
      <x:c r="C5" s="1" t="s">
        <x:v>35</x:v>
      </x:c>
      <x:c r="D5" s="1" t="s">
        <x:v>36</x:v>
      </x:c>
      <x:c r="E5" s="1" t="s">
        <x:v>37</x:v>
      </x:c>
      <x:c r="F5" s="1" t="s">
        <x:v>38</x:v>
      </x:c>
      <x:c r="G5" s="1" t="s">
        <x:v>39</x:v>
      </x:c>
      <x:c r="H5" s="1" t="s">
        <x:v>40</x:v>
      </x:c>
    </x:row>
    <x:row r="6" ht="49.04999923706055" customHeight="1">
      <x:c r="A6" s="2">
        <x:v>1</x:v>
      </x:c>
      <x:c r="B6" s="2" t="s">
        <x:v>41</x:v>
      </x:c>
      <x:c r="C6" s="2" t="s">
        <x:v>42</x:v>
      </x:c>
      <x:c r="D6" s="2">
        <x:v>15</x:v>
      </x:c>
      <x:c r="E6" s="3">
        <x:v>4.5</x:v>
      </x:c>
      <x:c r="F6" s="3" t="n">
        <x:f>D6*E6/5</x:f>
        <x:v>13.5</x:v>
      </x:c>
      <x:c r="G6" s="2"/>
      <x:c r="H6" s="2" t="s">
        <x:v>43</x:v>
      </x:c>
    </x:row>
    <x:row r="7" ht="49.04999923706055" customHeight="1">
      <x:c r="A7" s="2">
        <x:v>1</x:v>
      </x:c>
      <x:c r="B7" s="2" t="s">
        <x:v>41</x:v>
      </x:c>
      <x:c r="C7" s="2" t="s">
        <x:v>44</x:v>
      </x:c>
      <x:c r="D7" s="2">
        <x:v>15</x:v>
      </x:c>
      <x:c r="E7" s="3">
        <x:v>3.5</x:v>
      </x:c>
      <x:c r="F7" s="3" t="n">
        <x:f>D7*E7/5</x:f>
        <x:v>10.5</x:v>
      </x:c>
      <x:c r="G7" s="2" t="s">
        <x:v>45</x:v>
      </x:c>
      <x:c r="H7" s="2" t="str">
        <x:v>The incorrect written girth formula remains a material error despite the correct worked example. The manager removed the cardboard/corrugated terminology finding; it carries no penalty.</x:v>
      </x:c>
    </x:row>
    <x:row r="8" ht="49.04999923706055" customHeight="1">
      <x:c r="A8" s="2">
        <x:v>1</x:v>
      </x:c>
      <x:c r="B8" s="2" t="s">
        <x:v>41</x:v>
      </x:c>
      <x:c r="C8" s="2" t="s">
        <x:v>46</x:v>
      </x:c>
      <x:c r="D8" s="2">
        <x:v>20</x:v>
      </x:c>
      <x:c r="E8" s="3">
        <x:v>4</x:v>
      </x:c>
      <x:c r="F8" s="3" t="n">
        <x:f>D8*E8/5</x:f>
        <x:v>16</x:v>
      </x:c>
      <x:c r="G8" s="2"/>
      <x:c r="H8" s="2" t="s">
        <x:v>47</x:v>
      </x:c>
    </x:row>
    <x:row r="9" ht="49.04999923706055" customHeight="1">
      <x:c r="A9" s="2">
        <x:v>1</x:v>
      </x:c>
      <x:c r="B9" s="2" t="s">
        <x:v>41</x:v>
      </x:c>
      <x:c r="C9" s="2" t="s">
        <x:v>48</x:v>
      </x:c>
      <x:c r="D9" s="2">
        <x:v>15</x:v>
      </x:c>
      <x:c r="E9" s="3">
        <x:v>4</x:v>
      </x:c>
      <x:c r="F9" s="3" t="n">
        <x:f>D9*E9/5</x:f>
        <x:v>12</x:v>
      </x:c>
      <x:c r="G9" s="2"/>
      <x:c r="H9" s="2" t="s">
        <x:v>49</x:v>
      </x:c>
    </x:row>
    <x:row r="10" ht="49.04999923706055" customHeight="1">
      <x:c r="A10" s="2">
        <x:v>1</x:v>
      </x:c>
      <x:c r="B10" s="2" t="s">
        <x:v>41</x:v>
      </x:c>
      <x:c r="C10" s="2" t="s">
        <x:v>50</x:v>
      </x:c>
      <x:c r="D10" s="2">
        <x:v>10</x:v>
      </x:c>
      <x:c r="E10" s="3">
        <x:v>4</x:v>
      </x:c>
      <x:c r="F10" s="3" t="n">
        <x:f>D10*E10/5</x:f>
        <x:v>8</x:v>
      </x:c>
      <x:c r="G10" s="2"/>
      <x:c r="H10" s="2" t="s">
        <x:v>51</x:v>
      </x:c>
    </x:row>
    <x:row r="11" ht="49.04999923706055" customHeight="1">
      <x:c r="A11" s="2">
        <x:v>1</x:v>
      </x:c>
      <x:c r="B11" s="2" t="s">
        <x:v>41</x:v>
      </x:c>
      <x:c r="C11" s="2" t="s">
        <x:v>52</x:v>
      </x:c>
      <x:c r="D11" s="2">
        <x:v>10</x:v>
      </x:c>
      <x:c r="E11" s="3">
        <x:v>4.5</x:v>
      </x:c>
      <x:c r="F11" s="3" t="n">
        <x:f>D11*E11/5</x:f>
        <x:v>9</x:v>
      </x:c>
      <x:c r="G11" s="2"/>
      <x:c r="H11" s="2" t="s">
        <x:v>53</x:v>
      </x:c>
    </x:row>
    <x:row r="12" ht="49.04999923706055" customHeight="1">
      <x:c r="A12" s="2">
        <x:v>1</x:v>
      </x:c>
      <x:c r="B12" s="2" t="s">
        <x:v>41</x:v>
      </x:c>
      <x:c r="C12" s="2" t="s">
        <x:v>54</x:v>
      </x:c>
      <x:c r="D12" s="2">
        <x:v>10</x:v>
      </x:c>
      <x:c r="E12" s="3">
        <x:v>4</x:v>
      </x:c>
      <x:c r="F12" s="3" t="n">
        <x:f>D12*E12/5</x:f>
        <x:v>8</x:v>
      </x:c>
      <x:c r="G12" s="2"/>
      <x:c r="H12" s="2" t="s">
        <x:v>55</x:v>
      </x:c>
    </x:row>
    <x:row r="13" ht="49.04999923706055" customHeight="1">
      <x:c r="A13" s="2">
        <x:v>1</x:v>
      </x:c>
      <x:c r="B13" s="2" t="s">
        <x:v>41</x:v>
      </x:c>
      <x:c r="C13" s="2" t="s">
        <x:v>56</x:v>
      </x:c>
      <x:c r="D13" s="2">
        <x:v>5</x:v>
      </x:c>
      <x:c r="E13" s="3">
        <x:v>4</x:v>
      </x:c>
      <x:c r="F13" s="3" t="n">
        <x:f>D13*E13/5</x:f>
        <x:v>4</x:v>
      </x:c>
      <x:c r="G13" s="2"/>
      <x:c r="H13" s="2" t="s">
        <x:v>57</x:v>
      </x:c>
    </x:row>
    <x:row r="14" ht="49.04999923706055" customHeight="1">
      <x:c r="A14" s="2">
        <x:v>2</x:v>
      </x:c>
      <x:c r="B14" s="2" t="s">
        <x:v>58</x:v>
      </x:c>
      <x:c r="C14" s="2" t="s">
        <x:v>42</x:v>
      </x:c>
      <x:c r="D14" s="2">
        <x:v>15</x:v>
      </x:c>
      <x:c r="E14" s="3">
        <x:v>4.5</x:v>
      </x:c>
      <x:c r="F14" s="3" t="n">
        <x:f>D14*E14/5</x:f>
        <x:v>13.5</x:v>
      </x:c>
      <x:c r="G14" s="2"/>
      <x:c r="H14" s="2" t="s">
        <x:v>59</x:v>
      </x:c>
    </x:row>
    <x:row r="15" ht="49.04999923706055" customHeight="1">
      <x:c r="A15" s="2">
        <x:v>2</x:v>
      </x:c>
      <x:c r="B15" s="2" t="s">
        <x:v>58</x:v>
      </x:c>
      <x:c r="C15" s="2" t="s">
        <x:v>44</x:v>
      </x:c>
      <x:c r="D15" s="2">
        <x:v>15</x:v>
      </x:c>
      <x:c r="E15" s="3">
        <x:v>2.5</x:v>
      </x:c>
      <x:c r="F15" s="3" t="n">
        <x:f>D15*E15/5</x:f>
        <x:v>7.5</x:v>
      </x:c>
      <x:c r="G15" s="2" t="s">
        <x:v>60</x:v>
      </x:c>
      <x:c r="H15" s="2" t="s">
        <x:v>61</x:v>
      </x:c>
    </x:row>
    <x:row r="16" ht="49.04999923706055" customHeight="1">
      <x:c r="A16" s="2">
        <x:v>2</x:v>
      </x:c>
      <x:c r="B16" s="2" t="s">
        <x:v>58</x:v>
      </x:c>
      <x:c r="C16" s="2" t="s">
        <x:v>46</x:v>
      </x:c>
      <x:c r="D16" s="2">
        <x:v>20</x:v>
      </x:c>
      <x:c r="E16" s="3">
        <x:v>3.5</x:v>
      </x:c>
      <x:c r="F16" s="3" t="n">
        <x:f>D16*E16/5</x:f>
        <x:v>14</x:v>
      </x:c>
      <x:c r="G16" s="2"/>
      <x:c r="H16" s="2" t="s">
        <x:v>62</x:v>
      </x:c>
    </x:row>
    <x:row r="17" ht="49.04999923706055" customHeight="1">
      <x:c r="A17" s="2">
        <x:v>2</x:v>
      </x:c>
      <x:c r="B17" s="2" t="s">
        <x:v>58</x:v>
      </x:c>
      <x:c r="C17" s="2" t="s">
        <x:v>48</x:v>
      </x:c>
      <x:c r="D17" s="2">
        <x:v>15</x:v>
      </x:c>
      <x:c r="E17" s="3">
        <x:v>4</x:v>
      </x:c>
      <x:c r="F17" s="3" t="n">
        <x:f>D17*E17/5</x:f>
        <x:v>12</x:v>
      </x:c>
      <x:c r="G17" s="2"/>
      <x:c r="H17" s="2" t="s">
        <x:v>63</x:v>
      </x:c>
    </x:row>
    <x:row r="18" ht="49.04999923706055" customHeight="1">
      <x:c r="A18" s="2">
        <x:v>2</x:v>
      </x:c>
      <x:c r="B18" s="2" t="s">
        <x:v>58</x:v>
      </x:c>
      <x:c r="C18" s="2" t="s">
        <x:v>50</x:v>
      </x:c>
      <x:c r="D18" s="2">
        <x:v>10</x:v>
      </x:c>
      <x:c r="E18" s="3">
        <x:v>4</x:v>
      </x:c>
      <x:c r="F18" s="3" t="n">
        <x:f>D18*E18/5</x:f>
        <x:v>8</x:v>
      </x:c>
      <x:c r="G18" s="2"/>
      <x:c r="H18" s="2" t="s">
        <x:v>64</x:v>
      </x:c>
    </x:row>
    <x:row r="19" ht="49.04999923706055" customHeight="1">
      <x:c r="A19" s="2">
        <x:v>2</x:v>
      </x:c>
      <x:c r="B19" s="2" t="s">
        <x:v>58</x:v>
      </x:c>
      <x:c r="C19" s="2" t="s">
        <x:v>52</x:v>
      </x:c>
      <x:c r="D19" s="2">
        <x:v>10</x:v>
      </x:c>
      <x:c r="E19" s="3">
        <x:v>4.5</x:v>
      </x:c>
      <x:c r="F19" s="3" t="n">
        <x:f>D19*E19/5</x:f>
        <x:v>9</x:v>
      </x:c>
      <x:c r="G19" s="2"/>
      <x:c r="H19" s="2" t="s">
        <x:v>65</x:v>
      </x:c>
    </x:row>
    <x:row r="20" ht="49.04999923706055" customHeight="1">
      <x:c r="A20" s="2">
        <x:v>2</x:v>
      </x:c>
      <x:c r="B20" s="2" t="s">
        <x:v>58</x:v>
      </x:c>
      <x:c r="C20" s="2" t="s">
        <x:v>54</x:v>
      </x:c>
      <x:c r="D20" s="2">
        <x:v>10</x:v>
      </x:c>
      <x:c r="E20" s="3">
        <x:v>4</x:v>
      </x:c>
      <x:c r="F20" s="3" t="n">
        <x:f>D20*E20/5</x:f>
        <x:v>8</x:v>
      </x:c>
      <x:c r="G20" s="2"/>
      <x:c r="H20" s="2" t="s">
        <x:v>66</x:v>
      </x:c>
    </x:row>
    <x:row r="21" ht="49.04999923706055" customHeight="1">
      <x:c r="A21" s="2">
        <x:v>2</x:v>
      </x:c>
      <x:c r="B21" s="2" t="s">
        <x:v>58</x:v>
      </x:c>
      <x:c r="C21" s="2" t="s">
        <x:v>56</x:v>
      </x:c>
      <x:c r="D21" s="2">
        <x:v>5</x:v>
      </x:c>
      <x:c r="E21" s="3">
        <x:v>4</x:v>
      </x:c>
      <x:c r="F21" s="3" t="n">
        <x:f>D21*E21/5</x:f>
        <x:v>4</x:v>
      </x:c>
      <x:c r="G21" s="2"/>
      <x:c r="H21" s="2" t="s">
        <x:v>67</x:v>
      </x:c>
    </x:row>
    <x:row r="22" ht="49.04999923706055" customHeight="1">
      <x:c r="A22" s="2">
        <x:v>3</x:v>
      </x:c>
      <x:c r="B22" s="2" t="s">
        <x:v>68</x:v>
      </x:c>
      <x:c r="C22" s="2" t="s">
        <x:v>42</x:v>
      </x:c>
      <x:c r="D22" s="2">
        <x:v>15</x:v>
      </x:c>
      <x:c r="E22" s="3">
        <x:v>4.5</x:v>
      </x:c>
      <x:c r="F22" s="3" t="n">
        <x:f>D22*E22/5</x:f>
        <x:v>13.5</x:v>
      </x:c>
      <x:c r="G22" s="2"/>
      <x:c r="H22" s="2" t="s">
        <x:v>69</x:v>
      </x:c>
    </x:row>
    <x:row r="23" ht="49.04999923706055" customHeight="1">
      <x:c r="A23" s="2">
        <x:v>3</x:v>
      </x:c>
      <x:c r="B23" s="2" t="s">
        <x:v>68</x:v>
      </x:c>
      <x:c r="C23" s="2" t="s">
        <x:v>44</x:v>
      </x:c>
      <x:c r="D23" s="2">
        <x:v>15</x:v>
      </x:c>
      <x:c r="E23" s="3" t="n">
        <x:v>4.5</x:v>
      </x:c>
      <x:c r="F23" s="3" t="n">
        <x:f>D23*E23/5</x:f>
        <x:v>13.5</x:v>
      </x:c>
      <x:c r="G23" s="2"/>
      <x:c r="H23" s="2" t="str">
        <x:v>Useful descriptions of printing, finishing and proofing. Pantone is a non-penalizing safeguard; the ink wording is acceptable. No material error remains in this article’s reviewed issue register.</x:v>
      </x:c>
    </x:row>
    <x:row r="24" ht="49.04999923706055" customHeight="1">
      <x:c r="A24" s="2">
        <x:v>3</x:v>
      </x:c>
      <x:c r="B24" s="2" t="s">
        <x:v>68</x:v>
      </x:c>
      <x:c r="C24" s="2" t="s">
        <x:v>46</x:v>
      </x:c>
      <x:c r="D24" s="2">
        <x:v>20</x:v>
      </x:c>
      <x:c r="E24" s="3">
        <x:v>4.5</x:v>
      </x:c>
      <x:c r="F24" s="3" t="n">
        <x:f>D24*E24/5</x:f>
        <x:v>18</x:v>
      </x:c>
      <x:c r="G24" s="2"/>
      <x:c r="H24" s="2" t="s">
        <x:v>70</x:v>
      </x:c>
    </x:row>
    <x:row r="25" ht="49.04999923706055" customHeight="1">
      <x:c r="A25" s="2">
        <x:v>3</x:v>
      </x:c>
      <x:c r="B25" s="2" t="s">
        <x:v>68</x:v>
      </x:c>
      <x:c r="C25" s="2" t="s">
        <x:v>48</x:v>
      </x:c>
      <x:c r="D25" s="2">
        <x:v>15</x:v>
      </x:c>
      <x:c r="E25" s="3">
        <x:v>4.5</x:v>
      </x:c>
      <x:c r="F25" s="3" t="n">
        <x:f>D25*E25/5</x:f>
        <x:v>13.5</x:v>
      </x:c>
      <x:c r="G25" s="2"/>
      <x:c r="H25" s="2" t="str">
        <x:v>Practical design sequence includes color selection and sample approval. The ink statement describes a contribution rather than a guarantee and incurs no penalty.</x:v>
      </x:c>
    </x:row>
    <x:row r="26" ht="49.04999923706055" customHeight="1">
      <x:c r="A26" s="2">
        <x:v>3</x:v>
      </x:c>
      <x:c r="B26" s="2" t="s">
        <x:v>68</x:v>
      </x:c>
      <x:c r="C26" s="2" t="s">
        <x:v>50</x:v>
      </x:c>
      <x:c r="D26" s="2">
        <x:v>10</x:v>
      </x:c>
      <x:c r="E26" s="3">
        <x:v>4.5</x:v>
      </x:c>
      <x:c r="F26" s="3" t="n">
        <x:f>D26*E26/5</x:f>
        <x:v>9</x:v>
      </x:c>
      <x:c r="G26" s="2"/>
      <x:c r="H26" s="2" t="s">
        <x:v>71</x:v>
      </x:c>
    </x:row>
    <x:row r="27" ht="49.04999923706055" customHeight="1">
      <x:c r="A27" s="2">
        <x:v>3</x:v>
      </x:c>
      <x:c r="B27" s="2" t="s">
        <x:v>68</x:v>
      </x:c>
      <x:c r="C27" s="2" t="s">
        <x:v>52</x:v>
      </x:c>
      <x:c r="D27" s="2">
        <x:v>10</x:v>
      </x:c>
      <x:c r="E27" s="3">
        <x:v>4.5</x:v>
      </x:c>
      <x:c r="F27" s="3" t="n">
        <x:f>D27*E27/5</x:f>
        <x:v>9</x:v>
      </x:c>
      <x:c r="G27" s="2"/>
      <x:c r="H27" s="2" t="s">
        <x:v>72</x:v>
      </x:c>
    </x:row>
    <x:row r="28" ht="49.04999923706055" customHeight="1">
      <x:c r="A28" s="2">
        <x:v>3</x:v>
      </x:c>
      <x:c r="B28" s="2" t="s">
        <x:v>68</x:v>
      </x:c>
      <x:c r="C28" s="2" t="s">
        <x:v>54</x:v>
      </x:c>
      <x:c r="D28" s="2">
        <x:v>10</x:v>
      </x:c>
      <x:c r="E28" s="3">
        <x:v>4.5</x:v>
      </x:c>
      <x:c r="F28" s="3" t="n">
        <x:f>D28*E28/5</x:f>
        <x:v>9</x:v>
      </x:c>
      <x:c r="G28" s="2"/>
      <x:c r="H28" s="2" t="s">
        <x:v>73</x:v>
      </x:c>
    </x:row>
    <x:row r="29" ht="49.04999923706055" customHeight="1">
      <x:c r="A29" s="2">
        <x:v>3</x:v>
      </x:c>
      <x:c r="B29" s="2" t="s">
        <x:v>68</x:v>
      </x:c>
      <x:c r="C29" s="2" t="s">
        <x:v>56</x:v>
      </x:c>
      <x:c r="D29" s="2">
        <x:v>5</x:v>
      </x:c>
      <x:c r="E29" s="3">
        <x:v>4</x:v>
      </x:c>
      <x:c r="F29" s="3" t="n">
        <x:f>D29*E29/5</x:f>
        <x:v>4</x:v>
      </x:c>
      <x:c r="G29" s="2"/>
      <x:c r="H29" s="2" t="s">
        <x:v>74</x:v>
      </x:c>
    </x:row>
    <x:row r="30" ht="49.04999923706055" customHeight="1">
      <x:c r="A30" s="2">
        <x:v>4</x:v>
      </x:c>
      <x:c r="B30" s="2" t="s">
        <x:v>75</x:v>
      </x:c>
      <x:c r="C30" s="2" t="s">
        <x:v>42</x:v>
      </x:c>
      <x:c r="D30" s="2">
        <x:v>15</x:v>
      </x:c>
      <x:c r="E30" s="3">
        <x:v>4.5</x:v>
      </x:c>
      <x:c r="F30" s="3" t="n">
        <x:f>D30*E30/5</x:f>
        <x:v>13.5</x:v>
      </x:c>
      <x:c r="G30" s="2"/>
      <x:c r="H30" s="2" t="s">
        <x:v>76</x:v>
      </x:c>
    </x:row>
    <x:row r="31" ht="49.04999923706055" customHeight="1">
      <x:c r="A31" s="2">
        <x:v>4</x:v>
      </x:c>
      <x:c r="B31" s="2" t="s">
        <x:v>75</x:v>
      </x:c>
      <x:c r="C31" s="2" t="s">
        <x:v>44</x:v>
      </x:c>
      <x:c r="D31" s="2">
        <x:v>15</x:v>
      </x:c>
      <x:c r="E31" s="3" t="n">
        <x:v>4.5</x:v>
      </x:c>
      <x:c r="F31" s="3" t="n">
        <x:f>D31*E31/5</x:f>
        <x:v>13.5</x:v>
      </x:c>
      <x:c r="G31" s="2"/>
      <x:c r="H31" s="2" t="str">
        <x:v>Core card-size measurements and invitation formats are useful. The manager removed the folded-card pocket criticism; no scored accuracy issue remains in the reviewed register.</x:v>
      </x:c>
    </x:row>
    <x:row r="32" ht="49.04999923706055" customHeight="1">
      <x:c r="A32" s="2">
        <x:v>4</x:v>
      </x:c>
      <x:c r="B32" s="2" t="s">
        <x:v>75</x:v>
      </x:c>
      <x:c r="C32" s="2" t="s">
        <x:v>46</x:v>
      </x:c>
      <x:c r="D32" s="2">
        <x:v>20</x:v>
      </x:c>
      <x:c r="E32" s="3" t="n">
        <x:v>4.5</x:v>
      </x:c>
      <x:c r="F32" s="3" t="n">
        <x:f>D32*E32/5</x:f>
        <x:v>18</x:v>
      </x:c>
      <x:c r="G32" s="2"/>
      <x:c r="H32" s="2" t="str">
        <x:v>Covers flat, folded, pocket, send-and-seal and RSVP cards with their uses. Listing RSVP as a fifth type is acceptable; no taxonomy penalty.</x:v>
      </x:c>
    </x:row>
    <x:row r="33" ht="49.04999923706055" customHeight="1">
      <x:c r="A33" s="2">
        <x:v>4</x:v>
      </x:c>
      <x:c r="B33" s="2" t="s">
        <x:v>75</x:v>
      </x:c>
      <x:c r="C33" s="2" t="s">
        <x:v>48</x:v>
      </x:c>
      <x:c r="D33" s="2">
        <x:v>15</x:v>
      </x:c>
      <x:c r="E33" s="3">
        <x:v>4.5</x:v>
      </x:c>
      <x:c r="F33" s="3" t="n">
        <x:f>D33*E33/5</x:f>
        <x:v>13.5</x:v>
      </x:c>
      <x:c r="G33" s="2"/>
      <x:c r="H33" s="2" t="s">
        <x:v>77</x:v>
      </x:c>
    </x:row>
    <x:row r="34" ht="49.04999923706055" customHeight="1">
      <x:c r="A34" s="2">
        <x:v>4</x:v>
      </x:c>
      <x:c r="B34" s="2" t="s">
        <x:v>75</x:v>
      </x:c>
      <x:c r="C34" s="2" t="s">
        <x:v>50</x:v>
      </x:c>
      <x:c r="D34" s="2">
        <x:v>10</x:v>
      </x:c>
      <x:c r="E34" s="3">
        <x:v>4</x:v>
      </x:c>
      <x:c r="F34" s="3" t="n">
        <x:f>D34*E34/5</x:f>
        <x:v>8</x:v>
      </x:c>
      <x:c r="G34" s="2"/>
      <x:c r="H34" s="2" t="s">
        <x:v>78</x:v>
      </x:c>
    </x:row>
    <x:row r="35" ht="49.04999923706055" customHeight="1">
      <x:c r="A35" s="2">
        <x:v>4</x:v>
      </x:c>
      <x:c r="B35" s="2" t="s">
        <x:v>75</x:v>
      </x:c>
      <x:c r="C35" s="2" t="s">
        <x:v>52</x:v>
      </x:c>
      <x:c r="D35" s="2">
        <x:v>10</x:v>
      </x:c>
      <x:c r="E35" s="3">
        <x:v>4.5</x:v>
      </x:c>
      <x:c r="F35" s="3" t="n">
        <x:f>D35*E35/5</x:f>
        <x:v>9</x:v>
      </x:c>
      <x:c r="G35" s="2"/>
      <x:c r="H35" s="2" t="s">
        <x:v>79</x:v>
      </x:c>
    </x:row>
    <x:row r="36" ht="49.04999923706055" customHeight="1">
      <x:c r="A36" s="2">
        <x:v>4</x:v>
      </x:c>
      <x:c r="B36" s="2" t="s">
        <x:v>75</x:v>
      </x:c>
      <x:c r="C36" s="2" t="s">
        <x:v>54</x:v>
      </x:c>
      <x:c r="D36" s="2">
        <x:v>10</x:v>
      </x:c>
      <x:c r="E36" s="3">
        <x:v>4</x:v>
      </x:c>
      <x:c r="F36" s="3" t="n">
        <x:f>D36*E36/5</x:f>
        <x:v>8</x:v>
      </x:c>
      <x:c r="G36" s="2"/>
      <x:c r="H36" s="2" t="s">
        <x:v>80</x:v>
      </x:c>
    </x:row>
    <x:row r="37" ht="49.04999923706055" customHeight="1">
      <x:c r="A37" s="2">
        <x:v>4</x:v>
      </x:c>
      <x:c r="B37" s="2" t="s">
        <x:v>75</x:v>
      </x:c>
      <x:c r="C37" s="2" t="s">
        <x:v>56</x:v>
      </x:c>
      <x:c r="D37" s="2">
        <x:v>5</x:v>
      </x:c>
      <x:c r="E37" s="3">
        <x:v>4</x:v>
      </x:c>
      <x:c r="F37" s="3" t="n">
        <x:f>D37*E37/5</x:f>
        <x:v>4</x:v>
      </x:c>
      <x:c r="G37" s="2"/>
      <x:c r="H37" s="2" t="s">
        <x:v>81</x:v>
      </x:c>
    </x:row>
    <x:row r="38" ht="49.04999923706055" customHeight="1">
      <x:c r="A38" s="2">
        <x:v>5</x:v>
      </x:c>
      <x:c r="B38" s="2" t="s">
        <x:v>82</x:v>
      </x:c>
      <x:c r="C38" s="2" t="s">
        <x:v>42</x:v>
      </x:c>
      <x:c r="D38" s="2">
        <x:v>15</x:v>
      </x:c>
      <x:c r="E38" s="3">
        <x:v>4.5</x:v>
      </x:c>
      <x:c r="F38" s="3" t="n">
        <x:f>D38*E38/5</x:f>
        <x:v>13.5</x:v>
      </x:c>
      <x:c r="G38" s="2"/>
      <x:c r="H38" s="2" t="s">
        <x:v>83</x:v>
      </x:c>
    </x:row>
    <x:row r="39" ht="49.04999923706055" customHeight="1">
      <x:c r="A39" s="2">
        <x:v>5</x:v>
      </x:c>
      <x:c r="B39" s="2" t="s">
        <x:v>82</x:v>
      </x:c>
      <x:c r="C39" s="2" t="s">
        <x:v>44</x:v>
      </x:c>
      <x:c r="D39" s="2">
        <x:v>15</x:v>
      </x:c>
      <x:c r="E39" s="3">
        <x:v>2.5</x:v>
      </x:c>
      <x:c r="F39" s="3" t="n">
        <x:f>D39*E39/5</x:f>
        <x:v>7.5</x:v>
      </x:c>
      <x:c r="G39" s="2" t="s">
        <x:v>84</x:v>
      </x:c>
      <x:c r="H39" s="2" t="s">
        <x:v>85</x:v>
      </x:c>
    </x:row>
    <x:row r="40" ht="49.04999923706055" customHeight="1">
      <x:c r="A40" s="2">
        <x:v>5</x:v>
      </x:c>
      <x:c r="B40" s="2" t="s">
        <x:v>82</x:v>
      </x:c>
      <x:c r="C40" s="2" t="s">
        <x:v>46</x:v>
      </x:c>
      <x:c r="D40" s="2">
        <x:v>20</x:v>
      </x:c>
      <x:c r="E40" s="3">
        <x:v>4</x:v>
      </x:c>
      <x:c r="F40" s="3" t="n">
        <x:f>D40*E40/5</x:f>
        <x:v>16</x:v>
      </x:c>
      <x:c r="G40" s="2"/>
      <x:c r="H40" s="2" t="s">
        <x:v>86</x:v>
      </x:c>
    </x:row>
    <x:row r="41" ht="49.04999923706055" customHeight="1">
      <x:c r="A41" s="2">
        <x:v>5</x:v>
      </x:c>
      <x:c r="B41" s="2" t="s">
        <x:v>82</x:v>
      </x:c>
      <x:c r="C41" s="2" t="s">
        <x:v>48</x:v>
      </x:c>
      <x:c r="D41" s="2">
        <x:v>15</x:v>
      </x:c>
      <x:c r="E41" s="3">
        <x:v>3.5</x:v>
      </x:c>
      <x:c r="F41" s="3" t="n">
        <x:f>D41*E41/5</x:f>
        <x:v>10.5</x:v>
      </x:c>
      <x:c r="G41" s="2"/>
      <x:c r="H41" s="2" t="s">
        <x:v>87</x:v>
      </x:c>
    </x:row>
    <x:row r="42" ht="49.04999923706055" customHeight="1">
      <x:c r="A42" s="2">
        <x:v>5</x:v>
      </x:c>
      <x:c r="B42" s="2" t="s">
        <x:v>82</x:v>
      </x:c>
      <x:c r="C42" s="2" t="s">
        <x:v>50</x:v>
      </x:c>
      <x:c r="D42" s="2">
        <x:v>10</x:v>
      </x:c>
      <x:c r="E42" s="3">
        <x:v>4</x:v>
      </x:c>
      <x:c r="F42" s="3" t="n">
        <x:f>D42*E42/5</x:f>
        <x:v>8</x:v>
      </x:c>
      <x:c r="G42" s="2"/>
      <x:c r="H42" s="2" t="s">
        <x:v>88</x:v>
      </x:c>
    </x:row>
    <x:row r="43" ht="49.04999923706055" customHeight="1">
      <x:c r="A43" s="2">
        <x:v>5</x:v>
      </x:c>
      <x:c r="B43" s="2" t="s">
        <x:v>82</x:v>
      </x:c>
      <x:c r="C43" s="2" t="s">
        <x:v>52</x:v>
      </x:c>
      <x:c r="D43" s="2">
        <x:v>10</x:v>
      </x:c>
      <x:c r="E43" s="3">
        <x:v>4.5</x:v>
      </x:c>
      <x:c r="F43" s="3" t="n">
        <x:f>D43*E43/5</x:f>
        <x:v>9</x:v>
      </x:c>
      <x:c r="G43" s="2"/>
      <x:c r="H43" s="2" t="s">
        <x:v>89</x:v>
      </x:c>
    </x:row>
    <x:row r="44" ht="49.04999923706055" customHeight="1">
      <x:c r="A44" s="2">
        <x:v>5</x:v>
      </x:c>
      <x:c r="B44" s="2" t="s">
        <x:v>82</x:v>
      </x:c>
      <x:c r="C44" s="2" t="s">
        <x:v>54</x:v>
      </x:c>
      <x:c r="D44" s="2">
        <x:v>10</x:v>
      </x:c>
      <x:c r="E44" s="3">
        <x:v>4</x:v>
      </x:c>
      <x:c r="F44" s="3" t="n">
        <x:f>D44*E44/5</x:f>
        <x:v>8</x:v>
      </x:c>
      <x:c r="G44" s="2"/>
      <x:c r="H44" s="2" t="s">
        <x:v>90</x:v>
      </x:c>
    </x:row>
    <x:row r="45" ht="49.04999923706055" customHeight="1">
      <x:c r="A45" s="2">
        <x:v>5</x:v>
      </x:c>
      <x:c r="B45" s="2" t="s">
        <x:v>82</x:v>
      </x:c>
      <x:c r="C45" s="2" t="s">
        <x:v>56</x:v>
      </x:c>
      <x:c r="D45" s="2">
        <x:v>5</x:v>
      </x:c>
      <x:c r="E45" s="3">
        <x:v>4</x:v>
      </x:c>
      <x:c r="F45" s="3" t="n">
        <x:f>D45*E45/5</x:f>
        <x:v>4</x:v>
      </x:c>
      <x:c r="G45" s="2"/>
      <x:c r="H45" s="2" t="s">
        <x:v>91</x:v>
      </x:c>
    </x:row>
  </x:sheetData>
  <x:mergeCells>
    <x:mergeCell ref="A1:H1"/>
    <x:mergeCell ref="A3:H3"/>
  </x:mergeCells>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defaultRowHeight="13.800000190734863"/>
  <x:cols>
    <x:col min="1" max="1" width="14" customWidth="1"/>
    <x:col min="2" max="2" width="12" customWidth="1"/>
    <x:col min="3" max="3" width="23" customWidth="1"/>
    <x:col min="4" max="4" width="13" customWidth="1"/>
    <x:col min="5" max="5" width="52" customWidth="1"/>
    <x:col min="6" max="6" width="69" customWidth="1"/>
    <x:col min="7" max="7" width="88" customWidth="1"/>
    <x:col min="8" max="8" width="100" customWidth="1"/>
    <x:col min="9" max="9" width="19" customWidth="1"/>
    <x:col min="10" max="10" width="64" customWidth="1"/>
  </x:cols>
  <x:sheetData>
    <x:row r="1">
      <x:c r="A1" t="s">
        <x:v>92</x:v>
      </x:c>
    </x:row>
    <x:row r="3">
      <x:c r="A3" t="str">
        <x:v>Current findings retained from the manager-edited file. ACCEPTABLE safeguards carry no penalty. Removed findings are recorded in Manager Decisions.</x:v>
      </x:c>
    </x:row>
    <x:row r="5" ht="31.950000762939453" customHeight="1">
      <x:c r="A5" s="1" t="s">
        <x:v>93</x:v>
      </x:c>
      <x:c r="B5" s="1" t="s">
        <x:v>34</x:v>
      </x:c>
      <x:c r="C5" s="1" t="s">
        <x:v>94</x:v>
      </x:c>
      <x:c r="D5" s="1" t="s">
        <x:v>95</x:v>
      </x:c>
      <x:c r="E5" s="1" t="s">
        <x:v>96</x:v>
      </x:c>
      <x:c r="F5" s="1" t="s">
        <x:v>97</x:v>
      </x:c>
      <x:c r="G5" s="1" t="s">
        <x:v>98</x:v>
      </x:c>
      <x:c r="H5" s="1" t="s">
        <x:v>99</x:v>
      </x:c>
      <x:c r="I5" s="1" t="s">
        <x:v>100</x:v>
      </x:c>
      <x:c r="J5" s="1" t="s">
        <x:v>101</x:v>
      </x:c>
    </x:row>
    <x:row r="6" ht="60" customHeight="1">
      <x:c r="A6" s="2" t="str">
        <x:v>FZ-B01-01</x:v>
      </x:c>
      <x:c r="B6" s="2" t="n">
        <x:v>1</x:v>
      </x:c>
      <x:c r="C6" s="2" t="str">
        <x:v>FAIL</x:v>
      </x:c>
      <x:c r="D6" s="2" t="str">
        <x:v>High</x:v>
      </x:c>
      <x:c r="E6" s="2" t="str">
        <x:v>Incorrect formula for girth</x:v>
      </x:c>
      <x:c r="F6" s="2" t="str">
        <x:v>Box Girth = 2 × Width + Height</x:v>
      </x:c>
      <x:c r="G6" s="2" t="str">
        <x:v>Without parentheses the printed formula yields a different result from the correctly worked example. It can produce inaccurate shipping calculations.</x:v>
      </x:c>
      <x:c r="H6" s="2" t="str">
        <x:v>Replace with: Girth = 2 × (Width + Height), measured around the cross-section perpendicular to the longest side. Keep the 12 × 6 × 3 example yielding 18 in.</x:v>
      </x:c>
      <x:c r="I6" s="2" t="str">
        <x:v>L317-L339 · FZ-B01-01.png</x:v>
      </x:c>
      <x:c r="J6" s="2" t="str">
        <x:v>https://print247.us/post/how-to-measure-cardboard-box-dimensions</x:v>
      </x:c>
    </x:row>
    <x:row r="7" ht="60" customHeight="1">
      <x:c r="A7" s="2" t="str">
        <x:v>FZ-B01-03</x:v>
      </x:c>
      <x:c r="B7" s="2" t="n">
        <x:v>1</x:v>
      </x:c>
      <x:c r="C7" s="2" t="str">
        <x:v>NEEDS IMPROVEMENT</x:v>
      </x:c>
      <x:c r="D7" s="2" t="str">
        <x:v>Low</x:v>
      </x:c>
      <x:c r="E7" s="2" t="str">
        <x:v>Example sizes presented as universal standards</x:v>
      </x:c>
      <x:c r="F7" s="2" t="str">
        <x:v>Let’s take a look at some of the standard cardboard box dimensions:</x:v>
      </x:c>
      <x:c r="G7" s="2" t="str">
        <x:v>Box sizes vary by seller, style and application; the size table is still useful but the word standard can imply universal specifications.</x:v>
      </x:c>
      <x:c r="H7" s="2" t="str">
        <x:v>Change lead-in to: Common example dimensions include the following; verify the specific supplier’s inside or outside measurements.</x:v>
      </x:c>
      <x:c r="I7" s="2" t="str">
        <x:v>L306-L316 · FZ-B01-03.png</x:v>
      </x:c>
      <x:c r="J7" s="2" t="str">
        <x:v>https://print247.us/post/how-to-measure-cardboard-box-dimensions</x:v>
      </x:c>
    </x:row>
    <x:row r="8" ht="60" customHeight="1">
      <x:c r="A8" s="2" t="str">
        <x:v>FZ-B01-04</x:v>
      </x:c>
      <x:c r="B8" s="2" t="n">
        <x:v>1</x:v>
      </x:c>
      <x:c r="C8" s="2" t="str">
        <x:v>NEEDS IMPROVEMENT</x:v>
      </x:c>
      <x:c r="D8" s="2" t="str">
        <x:v>Medium</x:v>
      </x:c>
      <x:c r="E8" s="2" t="str">
        <x:v>Ordering example lacks clearance and specification context</x:v>
      </x:c>
      <x:c r="F8" s="2" t="str">
        <x:v>The inside dimensions of a box are the usable space where you’ll place your products.</x:v>
      </x:c>
      <x:c r="G8" s="2" t="str">
        <x:v>Correct distinction is explained, but a B2B buyer still needs one practical reminder about product clearance and whether quoted dimensions are internal or external.</x:v>
      </x:c>
      <x:c r="H8" s="2" t="str">
        <x:v>Add one short example: Measure product width plus cushioning allowance, confirm internal L × W × H, and have the supplier verify the final external size.</x:v>
      </x:c>
      <x:c r="I8" s="2" t="str">
        <x:v>L381-L387 · FZ-B01-04.png</x:v>
      </x:c>
      <x:c r="J8" s="2" t="str">
        <x:v>https://print247.us/post/how-to-measure-cardboard-box-dimensions</x:v>
      </x:c>
    </x:row>
    <x:row r="9" ht="60" customHeight="1">
      <x:c r="A9" s="2" t="str">
        <x:v>FZ-B02-01</x:v>
      </x:c>
      <x:c r="B9" s="2" t="n">
        <x:v>2</x:v>
      </x:c>
      <x:c r="C9" s="2" t="str">
        <x:v>FAIL</x:v>
      </x:c>
      <x:c r="D9" s="2" t="str">
        <x:v>High</x:v>
      </x:c>
      <x:c r="E9" s="2" t="str">
        <x:v>Wrong date assigned to modern standard size</x:v>
      </x:c>
      <x:c r="F9" s="2" t="str">
        <x:v>1952: This year was important because it's when Topps released the now iconic size for the baseball cards.</x:v>
      </x:c>
      <x:c r="G9" s="2" t="str">
        <x:v>The 1952 Topps baseball cards used a larger format. PSA identifies the 1957 Topps set as the first to settle on the modern 2.5 × 3.5-inch standard. This also affects the chart starting at 1952.</x:v>
      </x:c>
      <x:c r="H9" s="2" t="str">
        <x:v>Correct the timeline and chart: modern standard 2.5 × 3.5 in became established with the 1957 Topps set; distinguish earlier sizes.</x:v>
      </x:c>
      <x:c r="I9" s="2" t="str">
        <x:v>L240-L245; L286-L294 · FZ-B02-01.png</x:v>
      </x:c>
      <x:c r="J9" s="2" t="str">
        <x:v>https://print247.us/post/standard-baseball-card-sizes-all-dimensions-in-inches-cm-mm</x:v>
      </x:c>
    </x:row>
    <x:row r="10" ht="60" customHeight="1">
      <x:c r="A10" s="2" t="str">
        <x:v>FZ-B02-02</x:v>
      </x:c>
      <x:c r="B10" s="2" t="n">
        <x:v>2</x:v>
      </x:c>
      <x:c r="C10" s="2" t="str">
        <x:v>FAIL</x:v>
      </x:c>
      <x:c r="D10" s="2" t="str">
        <x:v>High</x:v>
      </x:c>
      <x:c r="E10" s="2" t="str">
        <x:v>PSA slab table contradicts its later measurement</x:v>
      </x:c>
      <x:c r="F10" s="2" t="str">
        <x:v>PSA graded slab  | .2 × 5.3 × 0.25</x:v>
      </x:c>
      <x:c r="G10" s="2" t="str">
        <x:v>The slab table prints .2 inches for the first dimension, while the following section gives approximately 3.2 × 5.3 × 0.25. That internal contradiction is material for readers buying fitted storage.</x:v>
      </x:c>
      <x:c r="H10" s="2" t="str">
        <x:v>Correct the table typo from “.2 × 5.3 × 0.25” to “3.2 × 5.3 × 0.25”, matching the approximate measurement stated later in the article. Verify actual holder dimensions before ordering fitted packaging.</x:v>
      </x:c>
      <x:c r="I10" s="2" t="str">
        <x:v>L287-L305 · FZ-B02-02.png</x:v>
      </x:c>
      <x:c r="J10" s="2" t="str">
        <x:v>https://print247.us/post/standard-baseball-card-sizes-all-dimensions-in-inches-cm-mm</x:v>
      </x:c>
    </x:row>
    <x:row r="11" ht="60" customHeight="1">
      <x:c r="A11" s="2" t="str">
        <x:v>FZ-B02-03</x:v>
      </x:c>
      <x:c r="B11" s="2" t="n">
        <x:v>2</x:v>
      </x:c>
      <x:c r="C11" s="2" t="str">
        <x:v>NEEDS IMPROVEMENT</x:v>
      </x:c>
      <x:c r="D11" s="2" t="str">
        <x:v>Low</x:v>
      </x:c>
      <x:c r="E11" s="2" t="str">
        <x:v>Penny sleeves incorrectly described as boxes</x:v>
      </x:c>
      <x:c r="F11" s="2" t="str">
        <x:v>Penny Sleeves: These boxes feature soft polypropylene sleeves.</x:v>
      </x:c>
      <x:c r="G11" s="2" t="str">
        <x:v>Penny sleeves are protective flexible sleeves, not boxes. Research packaging materials and accessory types before describing their function.</x:v>
      </x:c>
      <x:c r="H11" s="2" t="str">
        <x:v>Write: Penny sleeves are soft polypropylene sleeves used to protect the card surface.</x:v>
      </x:c>
      <x:c r="I11" s="2" t="str">
        <x:v>L307-L315 · FZ-B02-03.png</x:v>
      </x:c>
      <x:c r="J11" s="2" t="str">
        <x:v>https://print247.us/post/standard-baseball-card-sizes-all-dimensions-in-inches-cm-mm</x:v>
      </x:c>
    </x:row>
    <x:row r="12" ht="60" customHeight="1">
      <x:c r="A12" s="2" t="str">
        <x:v>FZ-B02-04</x:v>
      </x:c>
      <x:c r="B12" s="2" t="n">
        <x:v>2</x:v>
      </x:c>
      <x:c r="C12" s="2" t="str">
        <x:v>NEEDS IMPROVEMENT</x:v>
      </x:c>
      <x:c r="D12" s="2" t="str">
        <x:v>Medium</x:v>
      </x:c>
      <x:c r="E12" s="2" t="str">
        <x:v>Card size alone is overstated as authentication proof</x:v>
      </x:c>
      <x:c r="F12" s="2" t="str">
        <x:v>the right size indicates authenticity</x:v>
      </x:c>
      <x:c r="G12" s="2" t="str">
        <x:v>Correct dimensions may help flag alterations, but card size alone cannot establish authenticity. This is relevant to collectors and packaging buyers.</x:v>
      </x:c>
      <x:c r="H12" s="2" t="str">
        <x:v>Replace with: Correct dimensions can support inspection, but authenticity requires examination of printing, stock, edges and provenance or professional grading.</x:v>
      </x:c>
      <x:c r="I12" s="2" t="str">
        <x:v>L318-L327 · FZ-B02-04.png</x:v>
      </x:c>
      <x:c r="J12" s="2" t="str">
        <x:v>https://print247.us/post/standard-baseball-card-sizes-all-dimensions-in-inches-cm-mm</x:v>
      </x:c>
    </x:row>
    <x:row r="13" ht="60" customHeight="1">
      <x:c r="A13" s="2" t="str">
        <x:v>FZ-B03-01</x:v>
      </x:c>
      <x:c r="B13" s="2" t="n">
        <x:v>3</x:v>
      </x:c>
      <x:c r="C13" s="2" t="str">
        <x:v>ACCEPTABLE</x:v>
      </x:c>
      <x:c r="D13" s="2" t="str">
        <x:v>Safeguard</x:v>
      </x:c>
      <x:c r="E13" s="2" t="str">
        <x:v>Avoid absolute Pantone performance promises</x:v>
      </x:c>
      <x:c r="F13" s="2" t="str">
        <x:v>It provides 100% color consistency.</x:v>
      </x:c>
      <x:c r="G13" s="2" t="str">
        <x:v>Approved non-penalizing editorial safeguard. Qualify the measurable performance promise and include it in the Mini Guide; no automatic writer FAIL.</x:v>
      </x:c>
      <x:c r="H13" s="2" t="str">
        <x:v>Remove the absolute consistency claim, or replace with: Pantone spot colors help maintain consistent brand colors across print runs. Final appearance can vary with the material, finish and production conditions, so approve a physical proof before production.</x:v>
      </x:c>
      <x:c r="I13" s="2" t="str">
        <x:v>L313-L319 · FZ-B03-01.png</x:v>
      </x:c>
      <x:c r="J13" s="2" t="str">
        <x:v>https://print247.us/post/christmas-packaging-with-your-brand-logo</x:v>
      </x:c>
    </x:row>
    <x:row r="14" ht="60" customHeight="1">
      <x:c r="A14" s="12" t="str">
        <x:v>FZ-B05-01</x:v>
      </x:c>
      <x:c r="B14" s="12" t="n">
        <x:v>5</x:v>
      </x:c>
      <x:c r="C14" s="12" t="str">
        <x:v>FAIL</x:v>
      </x:c>
      <x:c r="D14" s="12" t="str">
        <x:v>High</x:v>
      </x:c>
      <x:c r="E14" s="12" t="str">
        <x:v>Vinyl scratch/fade durability expressed as invulnerability</x:v>
      </x:c>
      <x:c r="F14" s="12" t="str">
        <x:v>Vinyl stickers are invulnerable to scratches and fading.</x:v>
      </x:c>
      <x:c r="G14" s="12" t="str">
        <x:v>Neither vinyl face stock nor printed inks and laminates are inherently immune to damage; actual life depends on formulation, printing, finish and conditions. The article also presents unqualified 5-year versus days-long lifetimes.</x:v>
      </x:c>
      <x:c r="H14" s="12" t="str">
        <x:v>Replace with: Outdoor-rated vinyl stickers can offer greater moisture, abrasion and UV resistance than uncoated paper stickers, depending on inks, lamination and exposure. Remove unsupported universal lifetimes.</x:v>
      </x:c>
      <x:c r="I14" s="12" t="str">
        <x:v>L264-L272; L347-L356 · FZ-B05-01.png</x:v>
      </x:c>
      <x:c r="J14" s="12" t="str">
        <x:v>https://print247.us/post/printable-vinyl-for-stickers-vs-paper-stickers</x:v>
      </x:c>
    </x:row>
    <x:row r="15" ht="60" customHeight="1">
      <x:c r="A15" s="12" t="str">
        <x:v>FZ-B05-02</x:v>
      </x:c>
      <x:c r="B15" s="12" t="n">
        <x:v>5</x:v>
      </x:c>
      <x:c r="C15" s="12" t="str">
        <x:v>FAIL</x:v>
      </x:c>
      <x:c r="D15" s="12" t="str">
        <x:v>High</x:v>
      </x:c>
      <x:c r="E15" s="12" t="str">
        <x:v>Face stock is incorrectly equated with adhesive behavior</x:v>
      </x:c>
      <x:c r="F15" s="12" t="str">
        <x:v>Paper stickers use an average or temporary adhesive.</x:v>
      </x:c>
      <x:c r="G15" s="12" t="str">
        <x:v>Paper and vinyl name the face material, not the adhesive class. Both can be supplied with permanent, removable or specialty adhesive systems. This affects the article’s main buyer decision.</x:v>
      </x:c>
      <x:c r="H15" s="12" t="str">
        <x:v>Revise the comparison to distinguish face stock from adhesive selection: choose permanent/removable/high-tack formulations independently for paper or vinyl labels.</x:v>
      </x:c>
      <x:c r="I15" s="12" t="str">
        <x:v>L292-L296; L313-L322 · FZ-B05-02.png</x:v>
      </x:c>
      <x:c r="J15" s="12" t="str">
        <x:v>https://print247.us/post/printable-vinyl-for-stickers-vs-paper-stickers</x:v>
      </x:c>
    </x:row>
    <x:row r="16" ht="60" customHeight="1">
      <x:c r="A16" s="12" t="str">
        <x:v>FZ-B05-03</x:v>
      </x:c>
      <x:c r="B16" s="12" t="n">
        <x:v>5</x:v>
      </x:c>
      <x:c r="C16" s="12" t="str">
        <x:v>NEEDS IMPROVEMENT</x:v>
      </x:c>
      <x:c r="D16" s="12" t="str">
        <x:v>High</x:v>
      </x:c>
      <x:c r="E16" s="12" t="str">
        <x:v>Paper-sticker recyclability generalized</x:v>
      </x:c>
      <x:c r="F16" s="12" t="str">
        <x:v>Paper stickers are recyclable as they are made using eco friendly materials.</x:v>
      </x:c>
      <x:c r="G16" s="12" t="str">
        <x:v>Some paper labels include coatings, adhesives and liners that complicate recyclability; FTC guidance calls for substantiated qualified recyclable claims.</x:v>
      </x:c>
      <x:c r="H16" s="12" t="str">
        <x:v>Replace with: Some paper label materials may be recyclable in compatible streams, depending on coating, adhesive and local recycling arrangements.</x:v>
      </x:c>
      <x:c r="I16" s="12" t="str">
        <x:v>L327-L333 · FZ-B05-03.png</x:v>
      </x:c>
      <x:c r="J16" s="12" t="str">
        <x:v>https://print247.us/post/printable-vinyl-for-stickers-vs-paper-stickers</x:v>
      </x:c>
    </x:row>
  </x:sheetData>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2" customWidth="1"/>
    <x:col min="2" max="2" width="26" customWidth="1"/>
    <x:col min="3" max="3" width="28" customWidth="1"/>
    <x:col min="4" max="4" width="21" customWidth="1"/>
    <x:col min="5" max="5" width="27" customWidth="1"/>
    <x:col min="6" max="6" width="58" customWidth="1"/>
    <x:col min="7" max="7" width="69" customWidth="1"/>
    <x:col min="8" max="8" width="66" customWidth="1"/>
    <x:col min="9" max="9" width="58" customWidth="1"/>
  </x:cols>
  <x:sheetData>
    <x:row r="1">
      <x:c r="A1" t="s">
        <x:v>102</x:v>
      </x:c>
    </x:row>
    <x:row r="3">
      <x:c r="A3" t="s">
        <x:v>103</x:v>
      </x:c>
    </x:row>
    <x:row r="5" ht="31.950000762939453" customHeight="1">
      <x:c r="A5" s="1" t="s">
        <x:v>34</x:v>
      </x:c>
      <x:c r="B5" s="1" t="s">
        <x:v>7</x:v>
      </x:c>
      <x:c r="C5" s="1" t="s">
        <x:v>104</x:v>
      </x:c>
      <x:c r="D5" s="1" t="s">
        <x:v>105</x:v>
      </x:c>
      <x:c r="E5" s="1" t="s">
        <x:v>106</x:v>
      </x:c>
      <x:c r="F5" s="1" t="s">
        <x:v>107</x:v>
      </x:c>
      <x:c r="G5" s="1" t="s">
        <x:v>108</x:v>
      </x:c>
      <x:c r="H5" s="1" t="s">
        <x:v>109</x:v>
      </x:c>
      <x:c r="I5" s="1" t="s">
        <x:v>110</x:v>
      </x:c>
    </x:row>
    <x:row r="6" ht="37.95000076293945" customHeight="1">
      <x:c r="A6" s="2">
        <x:v>1</x:v>
      </x:c>
      <x:c r="B6" s="2" t="s">
        <x:v>41</x:v>
      </x:c>
      <x:c r="C6" s="2" t="s">
        <x:v>111</x:v>
      </x:c>
      <x:c r="D6" s="2" t="s">
        <x:v>112</x:v>
      </x:c>
      <x:c r="E6" s="2" t="s">
        <x:v>113</x:v>
      </x:c>
      <x:c r="F6" s="2" t="s">
        <x:v>114</x:v>
      </x:c>
      <x:c r="G6" s="2" t="s">
        <x:v>115</x:v>
      </x:c>
      <x:c r="H6" s="2"/>
      <x:c r="I6" s="2" t="s">
        <x:v>26</x:v>
      </x:c>
    </x:row>
    <x:row r="7" ht="37.95000076293945" customHeight="1">
      <x:c r="A7" s="2">
        <x:v>1</x:v>
      </x:c>
      <x:c r="B7" s="2" t="s">
        <x:v>41</x:v>
      </x:c>
      <x:c r="C7" s="2" t="s">
        <x:v>116</x:v>
      </x:c>
      <x:c r="D7" s="2" t="s">
        <x:v>112</x:v>
      </x:c>
      <x:c r="E7" s="2" t="s">
        <x:v>117</x:v>
      </x:c>
      <x:c r="F7" s="2" t="s">
        <x:v>114</x:v>
      </x:c>
      <x:c r="G7" s="2" t="s">
        <x:v>115</x:v>
      </x:c>
      <x:c r="H7" s="2"/>
      <x:c r="I7" s="2" t="s">
        <x:v>26</x:v>
      </x:c>
    </x:row>
    <x:row r="8" ht="37.95000076293945" customHeight="1">
      <x:c r="A8" s="2">
        <x:v>1</x:v>
      </x:c>
      <x:c r="B8" s="2" t="s">
        <x:v>41</x:v>
      </x:c>
      <x:c r="C8" s="2" t="s">
        <x:v>118</x:v>
      </x:c>
      <x:c r="D8" s="2" t="s">
        <x:v>112</x:v>
      </x:c>
      <x:c r="E8" s="2" t="s">
        <x:v>119</x:v>
      </x:c>
      <x:c r="F8" s="2" t="s">
        <x:v>120</x:v>
      </x:c>
      <x:c r="G8" s="2" t="s">
        <x:v>121</x:v>
      </x:c>
      <x:c r="H8" s="2"/>
      <x:c r="I8" s="2" t="s">
        <x:v>26</x:v>
      </x:c>
    </x:row>
    <x:row r="9" ht="37.95000076293945" customHeight="1">
      <x:c r="A9" s="2">
        <x:v>1</x:v>
      </x:c>
      <x:c r="B9" s="2" t="s">
        <x:v>41</x:v>
      </x:c>
      <x:c r="C9" s="2" t="s">
        <x:v>122</x:v>
      </x:c>
      <x:c r="D9" s="2" t="s">
        <x:v>112</x:v>
      </x:c>
      <x:c r="E9" s="2" t="s">
        <x:v>123</x:v>
      </x:c>
      <x:c r="F9" s="2" t="s">
        <x:v>114</x:v>
      </x:c>
      <x:c r="G9" s="2" t="s">
        <x:v>115</x:v>
      </x:c>
      <x:c r="H9" s="2"/>
      <x:c r="I9" s="2" t="s">
        <x:v>26</x:v>
      </x:c>
    </x:row>
    <x:row r="10" ht="37.95000076293945" customHeight="1">
      <x:c r="A10" s="2">
        <x:v>1</x:v>
      </x:c>
      <x:c r="B10" s="2" t="s">
        <x:v>41</x:v>
      </x:c>
      <x:c r="C10" s="2" t="s">
        <x:v>124</x:v>
      </x:c>
      <x:c r="D10" s="2" t="s">
        <x:v>112</x:v>
      </x:c>
      <x:c r="E10" s="2" t="s">
        <x:v>125</x:v>
      </x:c>
      <x:c r="F10" s="2" t="s">
        <x:v>120</x:v>
      </x:c>
      <x:c r="G10" s="2" t="s">
        <x:v>121</x:v>
      </x:c>
      <x:c r="H10" s="2"/>
      <x:c r="I10" s="2" t="s">
        <x:v>26</x:v>
      </x:c>
    </x:row>
    <x:row r="11" ht="37.95000076293945" customHeight="1">
      <x:c r="A11" s="2">
        <x:v>1</x:v>
      </x:c>
      <x:c r="B11" s="2" t="s">
        <x:v>41</x:v>
      </x:c>
      <x:c r="C11" s="2" t="s">
        <x:v>126</x:v>
      </x:c>
      <x:c r="D11" s="2" t="s">
        <x:v>112</x:v>
      </x:c>
      <x:c r="E11" s="2" t="s">
        <x:v>127</x:v>
      </x:c>
      <x:c r="F11" s="2" t="s">
        <x:v>114</x:v>
      </x:c>
      <x:c r="G11" s="2" t="s">
        <x:v>115</x:v>
      </x:c>
      <x:c r="H11" s="2"/>
      <x:c r="I11" s="2" t="s">
        <x:v>26</x:v>
      </x:c>
    </x:row>
    <x:row r="12" ht="37.95000076293945" customHeight="1">
      <x:c r="A12" s="2">
        <x:v>1</x:v>
      </x:c>
      <x:c r="B12" s="2" t="s">
        <x:v>41</x:v>
      </x:c>
      <x:c r="C12" s="2" t="s">
        <x:v>128</x:v>
      </x:c>
      <x:c r="D12" s="2" t="s">
        <x:v>129</x:v>
      </x:c>
      <x:c r="E12" s="2" t="s">
        <x:v>130</x:v>
      </x:c>
      <x:c r="F12" s="2" t="s">
        <x:v>131</x:v>
      </x:c>
      <x:c r="G12" s="2" t="str">
        <x:v>Incorrect formula for girth</x:v>
      </x:c>
      <x:c r="H12" s="2" t="str">
        <x:v>FZ-B01-01</x:v>
      </x:c>
      <x:c r="I12" s="2" t="s">
        <x:v>26</x:v>
      </x:c>
    </x:row>
    <x:row r="13" ht="37.95000076293945" customHeight="1">
      <x:c r="A13" s="2">
        <x:v>1</x:v>
      </x:c>
      <x:c r="B13" s="2" t="s">
        <x:v>41</x:v>
      </x:c>
      <x:c r="C13" s="2" t="s">
        <x:v>132</x:v>
      </x:c>
      <x:c r="D13" s="2" t="s">
        <x:v>129</x:v>
      </x:c>
      <x:c r="E13" s="2" t="s">
        <x:v>133</x:v>
      </x:c>
      <x:c r="F13" s="2" t="s">
        <x:v>131</x:v>
      </x:c>
      <x:c r="G13" s="2" t="s">
        <x:v>134</x:v>
      </x:c>
      <x:c r="H13" s="2" t="s">
        <x:v>45</x:v>
      </x:c>
      <x:c r="I13" s="2" t="s">
        <x:v>26</x:v>
      </x:c>
    </x:row>
    <x:row r="14" ht="37.95000076293945" customHeight="1">
      <x:c r="A14" s="2">
        <x:v>1</x:v>
      </x:c>
      <x:c r="B14" s="2" t="s">
        <x:v>41</x:v>
      </x:c>
      <x:c r="C14" s="2" t="s">
        <x:v>135</x:v>
      </x:c>
      <x:c r="D14" s="2" t="s">
        <x:v>129</x:v>
      </x:c>
      <x:c r="E14" s="2" t="s">
        <x:v>136</x:v>
      </x:c>
      <x:c r="F14" s="2" t="s">
        <x:v>137</x:v>
      </x:c>
      <x:c r="G14" s="2" t="s">
        <x:v>138</x:v>
      </x:c>
      <x:c r="H14" s="2" t="s">
        <x:v>139</x:v>
      </x:c>
      <x:c r="I14" s="2" t="s">
        <x:v>26</x:v>
      </x:c>
    </x:row>
    <x:row r="15" ht="37.95000076293945" customHeight="1">
      <x:c r="A15" s="2">
        <x:v>1</x:v>
      </x:c>
      <x:c r="B15" s="2" t="s">
        <x:v>41</x:v>
      </x:c>
      <x:c r="C15" s="2" t="s">
        <x:v>140</x:v>
      </x:c>
      <x:c r="D15" s="2" t="s">
        <x:v>129</x:v>
      </x:c>
      <x:c r="E15" s="2" t="s">
        <x:v>141</x:v>
      </x:c>
      <x:c r="F15" s="2" t="s">
        <x:v>131</x:v>
      </x:c>
      <x:c r="G15" s="2" t="s">
        <x:v>134</x:v>
      </x:c>
      <x:c r="H15" s="2" t="s">
        <x:v>45</x:v>
      </x:c>
      <x:c r="I15" s="2" t="s">
        <x:v>26</x:v>
      </x:c>
    </x:row>
    <x:row r="16" ht="37.95000076293945" customHeight="1">
      <x:c r="A16" s="2">
        <x:v>1</x:v>
      </x:c>
      <x:c r="B16" s="2" t="s">
        <x:v>41</x:v>
      </x:c>
      <x:c r="C16" s="2" t="s">
        <x:v>142</x:v>
      </x:c>
      <x:c r="D16" s="2" t="s">
        <x:v>129</x:v>
      </x:c>
      <x:c r="E16" s="2" t="s">
        <x:v>143</x:v>
      </x:c>
      <x:c r="F16" s="2" t="s">
        <x:v>131</x:v>
      </x:c>
      <x:c r="G16" s="2" t="str">
        <x:v>Incorrect formula for girth</x:v>
      </x:c>
      <x:c r="H16" s="2" t="str">
        <x:v>FZ-B01-01</x:v>
      </x:c>
      <x:c r="I16" s="2" t="s">
        <x:v>26</x:v>
      </x:c>
    </x:row>
    <x:row r="17" ht="37.95000076293945" customHeight="1">
      <x:c r="A17" s="2">
        <x:v>1</x:v>
      </x:c>
      <x:c r="B17" s="2" t="s">
        <x:v>41</x:v>
      </x:c>
      <x:c r="C17" s="2" t="s">
        <x:v>144</x:v>
      </x:c>
      <x:c r="D17" s="2" t="s">
        <x:v>129</x:v>
      </x:c>
      <x:c r="E17" s="2" t="s">
        <x:v>145</x:v>
      </x:c>
      <x:c r="F17" s="2" t="s">
        <x:v>114</x:v>
      </x:c>
      <x:c r="G17" s="2" t="s">
        <x:v>146</x:v>
      </x:c>
      <x:c r="H17" s="2"/>
      <x:c r="I17" s="2" t="s">
        <x:v>26</x:v>
      </x:c>
    </x:row>
    <x:row r="18" ht="37.95000076293945" customHeight="1">
      <x:c r="A18" s="2">
        <x:v>1</x:v>
      </x:c>
      <x:c r="B18" s="2" t="s">
        <x:v>41</x:v>
      </x:c>
      <x:c r="C18" s="2" t="s">
        <x:v>147</x:v>
      </x:c>
      <x:c r="D18" s="2" t="s">
        <x:v>148</x:v>
      </x:c>
      <x:c r="E18" s="2" t="s">
        <x:v>149</x:v>
      </x:c>
      <x:c r="F18" s="2" t="s">
        <x:v>114</x:v>
      </x:c>
      <x:c r="G18" s="2" t="s">
        <x:v>150</x:v>
      </x:c>
      <x:c r="H18" s="2"/>
      <x:c r="I18" s="2" t="s">
        <x:v>26</x:v>
      </x:c>
    </x:row>
    <x:row r="19" ht="37.95000076293945" customHeight="1">
      <x:c r="A19" s="2">
        <x:v>1</x:v>
      </x:c>
      <x:c r="B19" s="2" t="s">
        <x:v>41</x:v>
      </x:c>
      <x:c r="C19" s="2" t="s">
        <x:v>151</x:v>
      </x:c>
      <x:c r="D19" s="2" t="s">
        <x:v>148</x:v>
      </x:c>
      <x:c r="E19" s="2" t="s">
        <x:v>152</x:v>
      </x:c>
      <x:c r="F19" s="2" t="s">
        <x:v>114</x:v>
      </x:c>
      <x:c r="G19" s="2" t="s">
        <x:v>150</x:v>
      </x:c>
      <x:c r="H19" s="2"/>
      <x:c r="I19" s="2" t="s">
        <x:v>26</x:v>
      </x:c>
    </x:row>
    <x:row r="20" ht="37.95000076293945" customHeight="1">
      <x:c r="A20" s="2">
        <x:v>1</x:v>
      </x:c>
      <x:c r="B20" s="2" t="s">
        <x:v>41</x:v>
      </x:c>
      <x:c r="C20" s="2" t="s">
        <x:v>153</x:v>
      </x:c>
      <x:c r="D20" s="2" t="s">
        <x:v>148</x:v>
      </x:c>
      <x:c r="E20" s="2" t="s">
        <x:v>154</x:v>
      </x:c>
      <x:c r="F20" s="2" t="s">
        <x:v>114</x:v>
      </x:c>
      <x:c r="G20" s="2" t="s">
        <x:v>150</x:v>
      </x:c>
      <x:c r="H20" s="2"/>
      <x:c r="I20" s="2" t="s">
        <x:v>26</x:v>
      </x:c>
    </x:row>
    <x:row r="21" ht="37.95000076293945" customHeight="1">
      <x:c r="A21" s="2">
        <x:v>1</x:v>
      </x:c>
      <x:c r="B21" s="2" t="s">
        <x:v>41</x:v>
      </x:c>
      <x:c r="C21" s="2" t="s">
        <x:v>155</x:v>
      </x:c>
      <x:c r="D21" s="2" t="s">
        <x:v>148</x:v>
      </x:c>
      <x:c r="E21" s="2" t="s">
        <x:v>156</x:v>
      </x:c>
      <x:c r="F21" s="2" t="s">
        <x:v>114</x:v>
      </x:c>
      <x:c r="G21" s="2" t="s">
        <x:v>150</x:v>
      </x:c>
      <x:c r="H21" s="2"/>
      <x:c r="I21" s="2" t="s">
        <x:v>26</x:v>
      </x:c>
    </x:row>
    <x:row r="22" ht="37.95000076293945" customHeight="1">
      <x:c r="A22" s="2">
        <x:v>1</x:v>
      </x:c>
      <x:c r="B22" s="2" t="s">
        <x:v>41</x:v>
      </x:c>
      <x:c r="C22" s="2" t="s">
        <x:v>157</x:v>
      </x:c>
      <x:c r="D22" s="2" t="s">
        <x:v>148</x:v>
      </x:c>
      <x:c r="E22" s="2" t="s">
        <x:v>158</x:v>
      </x:c>
      <x:c r="F22" s="2" t="s">
        <x:v>114</x:v>
      </x:c>
      <x:c r="G22" s="2" t="s">
        <x:v>150</x:v>
      </x:c>
      <x:c r="H22" s="2"/>
      <x:c r="I22" s="2" t="s">
        <x:v>26</x:v>
      </x:c>
    </x:row>
    <x:row r="23" ht="37.95000076293945" customHeight="1">
      <x:c r="A23" s="2">
        <x:v>1</x:v>
      </x:c>
      <x:c r="B23" s="2" t="s">
        <x:v>41</x:v>
      </x:c>
      <x:c r="C23" s="2" t="s">
        <x:v>159</x:v>
      </x:c>
      <x:c r="D23" s="2" t="s">
        <x:v>148</x:v>
      </x:c>
      <x:c r="E23" s="2" t="s">
        <x:v>160</x:v>
      </x:c>
      <x:c r="F23" s="2" t="s">
        <x:v>120</x:v>
      </x:c>
      <x:c r="G23" s="2" t="s">
        <x:v>121</x:v>
      </x:c>
      <x:c r="H23" s="2"/>
      <x:c r="I23" s="2" t="s">
        <x:v>26</x:v>
      </x:c>
    </x:row>
    <x:row r="24" ht="37.95000076293945" customHeight="1">
      <x:c r="A24" s="2">
        <x:v>1</x:v>
      </x:c>
      <x:c r="B24" s="2" t="s">
        <x:v>41</x:v>
      </x:c>
      <x:c r="C24" s="2" t="s">
        <x:v>161</x:v>
      </x:c>
      <x:c r="D24" s="2" t="s">
        <x:v>162</x:v>
      </x:c>
      <x:c r="E24" s="2" t="s">
        <x:v>163</x:v>
      </x:c>
      <x:c r="F24" s="2" t="s">
        <x:v>114</x:v>
      </x:c>
      <x:c r="G24" s="2" t="s">
        <x:v>164</x:v>
      </x:c>
      <x:c r="H24" s="2"/>
      <x:c r="I24" s="2" t="s">
        <x:v>26</x:v>
      </x:c>
    </x:row>
    <x:row r="25" ht="37.95000076293945" customHeight="1">
      <x:c r="A25" s="2">
        <x:v>1</x:v>
      </x:c>
      <x:c r="B25" s="2" t="s">
        <x:v>41</x:v>
      </x:c>
      <x:c r="C25" s="2" t="s">
        <x:v>165</x:v>
      </x:c>
      <x:c r="D25" s="2" t="s">
        <x:v>162</x:v>
      </x:c>
      <x:c r="E25" s="2" t="s">
        <x:v>166</x:v>
      </x:c>
      <x:c r="F25" s="2" t="s">
        <x:v>114</x:v>
      </x:c>
      <x:c r="G25" s="2" t="s">
        <x:v>164</x:v>
      </x:c>
      <x:c r="H25" s="2"/>
      <x:c r="I25" s="2" t="s">
        <x:v>26</x:v>
      </x:c>
    </x:row>
    <x:row r="26" ht="37.95000076293945" customHeight="1">
      <x:c r="A26" s="2">
        <x:v>1</x:v>
      </x:c>
      <x:c r="B26" s="2" t="s">
        <x:v>41</x:v>
      </x:c>
      <x:c r="C26" s="2" t="s">
        <x:v>167</x:v>
      </x:c>
      <x:c r="D26" s="2" t="s">
        <x:v>162</x:v>
      </x:c>
      <x:c r="E26" s="2" t="s">
        <x:v>168</x:v>
      </x:c>
      <x:c r="F26" s="2" t="s">
        <x:v>114</x:v>
      </x:c>
      <x:c r="G26" s="2" t="s">
        <x:v>164</x:v>
      </x:c>
      <x:c r="H26" s="2"/>
      <x:c r="I26" s="2" t="s">
        <x:v>26</x:v>
      </x:c>
    </x:row>
    <x:row r="27" ht="37.95000076293945" customHeight="1">
      <x:c r="A27" s="2">
        <x:v>1</x:v>
      </x:c>
      <x:c r="B27" s="2" t="s">
        <x:v>41</x:v>
      </x:c>
      <x:c r="C27" s="2" t="s">
        <x:v>169</x:v>
      </x:c>
      <x:c r="D27" s="2" t="s">
        <x:v>162</x:v>
      </x:c>
      <x:c r="E27" s="2" t="s">
        <x:v>170</x:v>
      </x:c>
      <x:c r="F27" s="2" t="s">
        <x:v>114</x:v>
      </x:c>
      <x:c r="G27" s="2" t="s">
        <x:v>164</x:v>
      </x:c>
      <x:c r="H27" s="2"/>
      <x:c r="I27" s="2" t="s">
        <x:v>26</x:v>
      </x:c>
    </x:row>
    <x:row r="28" ht="37.95000076293945" customHeight="1">
      <x:c r="A28" s="2">
        <x:v>1</x:v>
      </x:c>
      <x:c r="B28" s="2" t="s">
        <x:v>41</x:v>
      </x:c>
      <x:c r="C28" s="2" t="s">
        <x:v>171</x:v>
      </x:c>
      <x:c r="D28" s="2" t="s">
        <x:v>162</x:v>
      </x:c>
      <x:c r="E28" s="2" t="s">
        <x:v>172</x:v>
      </x:c>
      <x:c r="F28" s="2" t="s">
        <x:v>137</x:v>
      </x:c>
      <x:c r="G28" s="2" t="s">
        <x:v>173</x:v>
      </x:c>
      <x:c r="H28" s="2" t="s">
        <x:v>174</x:v>
      </x:c>
      <x:c r="I28" s="2" t="s">
        <x:v>26</x:v>
      </x:c>
    </x:row>
    <x:row r="29" ht="37.95000076293945" customHeight="1">
      <x:c r="A29" s="2">
        <x:v>1</x:v>
      </x:c>
      <x:c r="B29" s="2" t="s">
        <x:v>41</x:v>
      </x:c>
      <x:c r="C29" s="2" t="s">
        <x:v>175</x:v>
      </x:c>
      <x:c r="D29" s="2" t="s">
        <x:v>162</x:v>
      </x:c>
      <x:c r="E29" s="2" t="s">
        <x:v>176</x:v>
      </x:c>
      <x:c r="F29" s="2" t="s">
        <x:v>120</x:v>
      </x:c>
      <x:c r="G29" s="2" t="s">
        <x:v>121</x:v>
      </x:c>
      <x:c r="H29" s="2"/>
      <x:c r="I29" s="2" t="s">
        <x:v>26</x:v>
      </x:c>
    </x:row>
    <x:row r="30" ht="37.95000076293945" customHeight="1">
      <x:c r="A30" s="2">
        <x:v>1</x:v>
      </x:c>
      <x:c r="B30" s="2" t="s">
        <x:v>41</x:v>
      </x:c>
      <x:c r="C30" s="2" t="s">
        <x:v>177</x:v>
      </x:c>
      <x:c r="D30" s="2" t="s">
        <x:v>178</x:v>
      </x:c>
      <x:c r="E30" s="2" t="s">
        <x:v>179</x:v>
      </x:c>
      <x:c r="F30" s="2" t="s">
        <x:v>120</x:v>
      </x:c>
      <x:c r="G30" s="2" t="s">
        <x:v>121</x:v>
      </x:c>
      <x:c r="H30" s="2"/>
      <x:c r="I30" s="2" t="s">
        <x:v>26</x:v>
      </x:c>
    </x:row>
    <x:row r="31" ht="37.95000076293945" customHeight="1">
      <x:c r="A31" s="2">
        <x:v>1</x:v>
      </x:c>
      <x:c r="B31" s="2" t="s">
        <x:v>41</x:v>
      </x:c>
      <x:c r="C31" s="2" t="s">
        <x:v>180</x:v>
      </x:c>
      <x:c r="D31" s="2" t="s">
        <x:v>178</x:v>
      </x:c>
      <x:c r="E31" s="2" t="s">
        <x:v>181</x:v>
      </x:c>
      <x:c r="F31" s="2" t="s">
        <x:v>114</x:v>
      </x:c>
      <x:c r="G31" s="2" t="s">
        <x:v>182</x:v>
      </x:c>
      <x:c r="H31" s="2"/>
      <x:c r="I31" s="2" t="s">
        <x:v>26</x:v>
      </x:c>
    </x:row>
    <x:row r="32" ht="37.95000076293945" customHeight="1">
      <x:c r="A32" s="2">
        <x:v>1</x:v>
      </x:c>
      <x:c r="B32" s="2" t="s">
        <x:v>41</x:v>
      </x:c>
      <x:c r="C32" s="2" t="s">
        <x:v>183</x:v>
      </x:c>
      <x:c r="D32" s="2" t="s">
        <x:v>178</x:v>
      </x:c>
      <x:c r="E32" s="2" t="s">
        <x:v>184</x:v>
      </x:c>
      <x:c r="F32" s="2" t="s">
        <x:v>114</x:v>
      </x:c>
      <x:c r="G32" s="2" t="s">
        <x:v>182</x:v>
      </x:c>
      <x:c r="H32" s="2"/>
      <x:c r="I32" s="2" t="s">
        <x:v>26</x:v>
      </x:c>
    </x:row>
    <x:row r="33" ht="37.95000076293945" customHeight="1">
      <x:c r="A33" s="2">
        <x:v>1</x:v>
      </x:c>
      <x:c r="B33" s="2" t="s">
        <x:v>41</x:v>
      </x:c>
      <x:c r="C33" s="2" t="s">
        <x:v>185</x:v>
      </x:c>
      <x:c r="D33" s="2" t="s">
        <x:v>178</x:v>
      </x:c>
      <x:c r="E33" s="2" t="s">
        <x:v>186</x:v>
      </x:c>
      <x:c r="F33" s="2" t="s">
        <x:v>120</x:v>
      </x:c>
      <x:c r="G33" s="2" t="s">
        <x:v>121</x:v>
      </x:c>
      <x:c r="H33" s="2"/>
      <x:c r="I33" s="2" t="s">
        <x:v>26</x:v>
      </x:c>
    </x:row>
    <x:row r="34" ht="37.95000076293945" customHeight="1">
      <x:c r="A34" s="2">
        <x:v>1</x:v>
      </x:c>
      <x:c r="B34" s="2" t="s">
        <x:v>41</x:v>
      </x:c>
      <x:c r="C34" s="2" t="s">
        <x:v>187</x:v>
      </x:c>
      <x:c r="D34" s="2" t="s">
        <x:v>178</x:v>
      </x:c>
      <x:c r="E34" s="2" t="s">
        <x:v>188</x:v>
      </x:c>
      <x:c r="F34" s="2" t="s">
        <x:v>114</x:v>
      </x:c>
      <x:c r="G34" s="2" t="s">
        <x:v>182</x:v>
      </x:c>
      <x:c r="H34" s="2"/>
      <x:c r="I34" s="2" t="s">
        <x:v>26</x:v>
      </x:c>
    </x:row>
    <x:row r="35" ht="37.95000076293945" customHeight="1">
      <x:c r="A35" s="2">
        <x:v>1</x:v>
      </x:c>
      <x:c r="B35" s="2" t="s">
        <x:v>41</x:v>
      </x:c>
      <x:c r="C35" s="2" t="s">
        <x:v>189</x:v>
      </x:c>
      <x:c r="D35" s="2" t="s">
        <x:v>178</x:v>
      </x:c>
      <x:c r="E35" s="2" t="s">
        <x:v>190</x:v>
      </x:c>
      <x:c r="F35" s="2" t="s">
        <x:v>120</x:v>
      </x:c>
      <x:c r="G35" s="2" t="s">
        <x:v>121</x:v>
      </x:c>
      <x:c r="H35" s="2"/>
      <x:c r="I35" s="2" t="s">
        <x:v>26</x:v>
      </x:c>
    </x:row>
    <x:row r="36" ht="37.95000076293945" customHeight="1">
      <x:c r="A36" s="2">
        <x:v>1</x:v>
      </x:c>
      <x:c r="B36" s="2" t="s">
        <x:v>41</x:v>
      </x:c>
      <x:c r="C36" s="2" t="s">
        <x:v>191</x:v>
      </x:c>
      <x:c r="D36" s="2" t="s">
        <x:v>192</x:v>
      </x:c>
      <x:c r="E36" s="2" t="s">
        <x:v>193</x:v>
      </x:c>
      <x:c r="F36" s="2" t="s">
        <x:v>114</x:v>
      </x:c>
      <x:c r="G36" s="2" t="s">
        <x:v>194</x:v>
      </x:c>
      <x:c r="H36" s="2"/>
      <x:c r="I36" s="2" t="s">
        <x:v>26</x:v>
      </x:c>
    </x:row>
    <x:row r="37" ht="37.95000076293945" customHeight="1">
      <x:c r="A37" s="2">
        <x:v>1</x:v>
      </x:c>
      <x:c r="B37" s="2" t="s">
        <x:v>41</x:v>
      </x:c>
      <x:c r="C37" s="2" t="s">
        <x:v>195</x:v>
      </x:c>
      <x:c r="D37" s="2" t="s">
        <x:v>192</x:v>
      </x:c>
      <x:c r="E37" s="2" t="s">
        <x:v>196</x:v>
      </x:c>
      <x:c r="F37" s="2" t="s">
        <x:v>114</x:v>
      </x:c>
      <x:c r="G37" s="2" t="s">
        <x:v>194</x:v>
      </x:c>
      <x:c r="H37" s="2"/>
      <x:c r="I37" s="2" t="s">
        <x:v>26</x:v>
      </x:c>
    </x:row>
    <x:row r="38" ht="37.95000076293945" customHeight="1">
      <x:c r="A38" s="2">
        <x:v>1</x:v>
      </x:c>
      <x:c r="B38" s="2" t="s">
        <x:v>41</x:v>
      </x:c>
      <x:c r="C38" s="2" t="s">
        <x:v>197</x:v>
      </x:c>
      <x:c r="D38" s="2" t="s">
        <x:v>192</x:v>
      </x:c>
      <x:c r="E38" s="2" t="s">
        <x:v>198</x:v>
      </x:c>
      <x:c r="F38" s="2" t="s">
        <x:v>114</x:v>
      </x:c>
      <x:c r="G38" s="2" t="s">
        <x:v>194</x:v>
      </x:c>
      <x:c r="H38" s="2"/>
      <x:c r="I38" s="2" t="s">
        <x:v>26</x:v>
      </x:c>
    </x:row>
    <x:row r="39" ht="37.95000076293945" customHeight="1">
      <x:c r="A39" s="2">
        <x:v>1</x:v>
      </x:c>
      <x:c r="B39" s="2" t="s">
        <x:v>41</x:v>
      </x:c>
      <x:c r="C39" s="2" t="s">
        <x:v>199</x:v>
      </x:c>
      <x:c r="D39" s="2" t="s">
        <x:v>192</x:v>
      </x:c>
      <x:c r="E39" s="2" t="s">
        <x:v>200</x:v>
      </x:c>
      <x:c r="F39" s="2" t="s">
        <x:v>114</x:v>
      </x:c>
      <x:c r="G39" s="2" t="s">
        <x:v>194</x:v>
      </x:c>
      <x:c r="H39" s="2"/>
      <x:c r="I39" s="2" t="s">
        <x:v>26</x:v>
      </x:c>
    </x:row>
    <x:row r="40" ht="37.95000076293945" customHeight="1">
      <x:c r="A40" s="2">
        <x:v>1</x:v>
      </x:c>
      <x:c r="B40" s="2" t="s">
        <x:v>41</x:v>
      </x:c>
      <x:c r="C40" s="2" t="s">
        <x:v>201</x:v>
      </x:c>
      <x:c r="D40" s="2" t="s">
        <x:v>192</x:v>
      </x:c>
      <x:c r="E40" s="2" t="s">
        <x:v>202</x:v>
      </x:c>
      <x:c r="F40" s="2" t="s">
        <x:v>114</x:v>
      </x:c>
      <x:c r="G40" s="2" t="s">
        <x:v>194</x:v>
      </x:c>
      <x:c r="H40" s="2"/>
      <x:c r="I40" s="2" t="s">
        <x:v>26</x:v>
      </x:c>
    </x:row>
    <x:row r="41" ht="37.95000076293945" customHeight="1">
      <x:c r="A41" s="2">
        <x:v>1</x:v>
      </x:c>
      <x:c r="B41" s="2" t="s">
        <x:v>41</x:v>
      </x:c>
      <x:c r="C41" s="2" t="s">
        <x:v>203</x:v>
      </x:c>
      <x:c r="D41" s="2" t="s">
        <x:v>204</x:v>
      </x:c>
      <x:c r="E41" s="2" t="s">
        <x:v>205</x:v>
      </x:c>
      <x:c r="F41" s="2" t="s">
        <x:v>120</x:v>
      </x:c>
      <x:c r="G41" s="2" t="s">
        <x:v>121</x:v>
      </x:c>
      <x:c r="H41" s="2"/>
      <x:c r="I41" s="2" t="s">
        <x:v>26</x:v>
      </x:c>
    </x:row>
    <x:row r="42" ht="37.95000076293945" customHeight="1">
      <x:c r="A42" s="2">
        <x:v>1</x:v>
      </x:c>
      <x:c r="B42" s="2" t="s">
        <x:v>41</x:v>
      </x:c>
      <x:c r="C42" s="2" t="s">
        <x:v>206</x:v>
      </x:c>
      <x:c r="D42" s="2" t="s">
        <x:v>204</x:v>
      </x:c>
      <x:c r="E42" s="2" t="s">
        <x:v>207</x:v>
      </x:c>
      <x:c r="F42" s="2" t="s">
        <x:v>137</x:v>
      </x:c>
      <x:c r="G42" s="2" t="s">
        <x:v>173</x:v>
      </x:c>
      <x:c r="H42" s="2" t="s">
        <x:v>174</x:v>
      </x:c>
      <x:c r="I42" s="2" t="s">
        <x:v>26</x:v>
      </x:c>
    </x:row>
    <x:row r="43" ht="37.95000076293945" customHeight="1">
      <x:c r="A43" s="2">
        <x:v>1</x:v>
      </x:c>
      <x:c r="B43" s="2" t="s">
        <x:v>41</x:v>
      </x:c>
      <x:c r="C43" s="2" t="s">
        <x:v>208</x:v>
      </x:c>
      <x:c r="D43" s="2" t="s">
        <x:v>204</x:v>
      </x:c>
      <x:c r="E43" s="2" t="s">
        <x:v>209</x:v>
      </x:c>
      <x:c r="F43" s="2" t="s">
        <x:v>210</x:v>
      </x:c>
      <x:c r="G43" s="2" t="s">
        <x:v>211</x:v>
      </x:c>
      <x:c r="H43" s="2"/>
      <x:c r="I43" s="2" t="s">
        <x:v>26</x:v>
      </x:c>
    </x:row>
    <x:row r="44" ht="37.95000076293945" customHeight="1">
      <x:c r="A44" s="2">
        <x:v>1</x:v>
      </x:c>
      <x:c r="B44" s="2" t="s">
        <x:v>41</x:v>
      </x:c>
      <x:c r="C44" s="2" t="s">
        <x:v>212</x:v>
      </x:c>
      <x:c r="D44" s="2" t="s">
        <x:v>204</x:v>
      </x:c>
      <x:c r="E44" s="2" t="s">
        <x:v>213</x:v>
      </x:c>
      <x:c r="F44" s="2" t="s">
        <x:v>137</x:v>
      </x:c>
      <x:c r="G44" s="2" t="s">
        <x:v>173</x:v>
      </x:c>
      <x:c r="H44" s="2" t="s">
        <x:v>174</x:v>
      </x:c>
      <x:c r="I44" s="2" t="s">
        <x:v>26</x:v>
      </x:c>
    </x:row>
    <x:row r="45" ht="37.95000076293945" customHeight="1">
      <x:c r="A45" s="2">
        <x:v>1</x:v>
      </x:c>
      <x:c r="B45" s="2" t="s">
        <x:v>41</x:v>
      </x:c>
      <x:c r="C45" s="2" t="s">
        <x:v>214</x:v>
      </x:c>
      <x:c r="D45" s="2" t="s">
        <x:v>204</x:v>
      </x:c>
      <x:c r="E45" s="2" t="s">
        <x:v>215</x:v>
      </x:c>
      <x:c r="F45" s="2" t="s">
        <x:v>114</x:v>
      </x:c>
      <x:c r="G45" s="2" t="s">
        <x:v>216</x:v>
      </x:c>
      <x:c r="H45" s="2"/>
      <x:c r="I45" s="2" t="s">
        <x:v>26</x:v>
      </x:c>
    </x:row>
    <x:row r="46" ht="37.95000076293945" customHeight="1">
      <x:c r="A46" s="2">
        <x:v>1</x:v>
      </x:c>
      <x:c r="B46" s="2" t="s">
        <x:v>41</x:v>
      </x:c>
      <x:c r="C46" s="2" t="s">
        <x:v>217</x:v>
      </x:c>
      <x:c r="D46" s="2" t="s">
        <x:v>204</x:v>
      </x:c>
      <x:c r="E46" s="2" t="s">
        <x:v>218</x:v>
      </x:c>
      <x:c r="F46" s="2" t="s">
        <x:v>114</x:v>
      </x:c>
      <x:c r="G46" s="2" t="s">
        <x:v>216</x:v>
      </x:c>
      <x:c r="H46" s="2"/>
      <x:c r="I46" s="2" t="s">
        <x:v>26</x:v>
      </x:c>
    </x:row>
    <x:row r="47" ht="37.95000076293945" customHeight="1">
      <x:c r="A47" s="2">
        <x:v>1</x:v>
      </x:c>
      <x:c r="B47" s="2" t="s">
        <x:v>41</x:v>
      </x:c>
      <x:c r="C47" s="2" t="s">
        <x:v>219</x:v>
      </x:c>
      <x:c r="D47" s="2" t="s">
        <x:v>220</x:v>
      </x:c>
      <x:c r="E47" s="2" t="s">
        <x:v>221</x:v>
      </x:c>
      <x:c r="F47" s="2" t="s">
        <x:v>114</x:v>
      </x:c>
      <x:c r="G47" s="2" t="s">
        <x:v>222</x:v>
      </x:c>
      <x:c r="H47" s="2"/>
      <x:c r="I47" s="2" t="s">
        <x:v>26</x:v>
      </x:c>
    </x:row>
    <x:row r="48" ht="37.95000076293945" customHeight="1">
      <x:c r="A48" s="2">
        <x:v>1</x:v>
      </x:c>
      <x:c r="B48" s="2" t="s">
        <x:v>41</x:v>
      </x:c>
      <x:c r="C48" s="2" t="s">
        <x:v>223</x:v>
      </x:c>
      <x:c r="D48" s="2" t="s">
        <x:v>220</x:v>
      </x:c>
      <x:c r="E48" s="2" t="s">
        <x:v>224</x:v>
      </x:c>
      <x:c r="F48" s="2" t="s">
        <x:v>114</x:v>
      </x:c>
      <x:c r="G48" s="2" t="s">
        <x:v>222</x:v>
      </x:c>
      <x:c r="H48" s="2"/>
      <x:c r="I48" s="2" t="s">
        <x:v>26</x:v>
      </x:c>
    </x:row>
    <x:row r="49" ht="37.95000076293945" customHeight="1">
      <x:c r="A49" s="2">
        <x:v>1</x:v>
      </x:c>
      <x:c r="B49" s="2" t="s">
        <x:v>41</x:v>
      </x:c>
      <x:c r="C49" s="2" t="s">
        <x:v>225</x:v>
      </x:c>
      <x:c r="D49" s="2" t="s">
        <x:v>220</x:v>
      </x:c>
      <x:c r="E49" s="2" t="s">
        <x:v>226</x:v>
      </x:c>
      <x:c r="F49" s="2" t="s">
        <x:v>114</x:v>
      </x:c>
      <x:c r="G49" s="2" t="s">
        <x:v>222</x:v>
      </x:c>
      <x:c r="H49" s="2"/>
      <x:c r="I49" s="2" t="s">
        <x:v>26</x:v>
      </x:c>
    </x:row>
    <x:row r="50" ht="37.95000076293945" customHeight="1">
      <x:c r="A50" s="2">
        <x:v>1</x:v>
      </x:c>
      <x:c r="B50" s="2" t="s">
        <x:v>41</x:v>
      </x:c>
      <x:c r="C50" s="2" t="s">
        <x:v>227</x:v>
      </x:c>
      <x:c r="D50" s="2" t="s">
        <x:v>220</x:v>
      </x:c>
      <x:c r="E50" s="2" t="s">
        <x:v>228</x:v>
      </x:c>
      <x:c r="F50" s="2" t="s">
        <x:v>229</x:v>
      </x:c>
      <x:c r="G50" s="2" t="s">
        <x:v>230</x:v>
      </x:c>
      <x:c r="H50" s="2"/>
      <x:c r="I50" s="2" t="s">
        <x:v>26</x:v>
      </x:c>
    </x:row>
    <x:row r="51" ht="37.95000076293945" customHeight="1">
      <x:c r="A51" s="2">
        <x:v>1</x:v>
      </x:c>
      <x:c r="B51" s="2" t="s">
        <x:v>41</x:v>
      </x:c>
      <x:c r="C51" s="2" t="s">
        <x:v>231</x:v>
      </x:c>
      <x:c r="D51" s="2" t="s">
        <x:v>220</x:v>
      </x:c>
      <x:c r="E51" s="2" t="s">
        <x:v>232</x:v>
      </x:c>
      <x:c r="F51" s="2" t="s">
        <x:v>114</x:v>
      </x:c>
      <x:c r="G51" s="2" t="s">
        <x:v>222</x:v>
      </x:c>
      <x:c r="H51" s="2"/>
      <x:c r="I51" s="2" t="s">
        <x:v>26</x:v>
      </x:c>
    </x:row>
    <x:row r="52" ht="37.95000076293945" customHeight="1">
      <x:c r="A52" s="2">
        <x:v>1</x:v>
      </x:c>
      <x:c r="B52" s="2" t="s">
        <x:v>41</x:v>
      </x:c>
      <x:c r="C52" s="2" t="s">
        <x:v>233</x:v>
      </x:c>
      <x:c r="D52" s="2" t="s">
        <x:v>234</x:v>
      </x:c>
      <x:c r="E52" s="2" t="s">
        <x:v>235</x:v>
      </x:c>
      <x:c r="F52" s="2" t="s">
        <x:v>120</x:v>
      </x:c>
      <x:c r="G52" s="2" t="s">
        <x:v>121</x:v>
      </x:c>
      <x:c r="H52" s="2"/>
      <x:c r="I52" s="2" t="s">
        <x:v>26</x:v>
      </x:c>
    </x:row>
    <x:row r="53" ht="37.95000076293945" customHeight="1">
      <x:c r="A53" s="2">
        <x:v>1</x:v>
      </x:c>
      <x:c r="B53" s="2" t="s">
        <x:v>41</x:v>
      </x:c>
      <x:c r="C53" s="2" t="s">
        <x:v>236</x:v>
      </x:c>
      <x:c r="D53" s="2" t="s">
        <x:v>234</x:v>
      </x:c>
      <x:c r="E53" s="2" t="s">
        <x:v>237</x:v>
      </x:c>
      <x:c r="F53" s="2" t="s">
        <x:v>114</x:v>
      </x:c>
      <x:c r="G53" s="2" t="s">
        <x:v>238</x:v>
      </x:c>
      <x:c r="H53" s="2"/>
      <x:c r="I53" s="2" t="s">
        <x:v>26</x:v>
      </x:c>
    </x:row>
    <x:row r="54" ht="37.95000076293945" customHeight="1">
      <x:c r="A54" s="2">
        <x:v>1</x:v>
      </x:c>
      <x:c r="B54" s="2" t="s">
        <x:v>41</x:v>
      </x:c>
      <x:c r="C54" s="2" t="s">
        <x:v>239</x:v>
      </x:c>
      <x:c r="D54" s="2" t="s">
        <x:v>234</x:v>
      </x:c>
      <x:c r="E54" s="2" t="s">
        <x:v>240</x:v>
      </x:c>
      <x:c r="F54" s="2" t="s">
        <x:v>120</x:v>
      </x:c>
      <x:c r="G54" s="2" t="s">
        <x:v>121</x:v>
      </x:c>
      <x:c r="H54" s="2"/>
      <x:c r="I54" s="2" t="s">
        <x:v>26</x:v>
      </x:c>
    </x:row>
    <x:row r="55" ht="37.95000076293945" customHeight="1">
      <x:c r="A55" s="2">
        <x:v>1</x:v>
      </x:c>
      <x:c r="B55" s="2" t="s">
        <x:v>41</x:v>
      </x:c>
      <x:c r="C55" s="2" t="s">
        <x:v>241</x:v>
      </x:c>
      <x:c r="D55" s="2" t="s">
        <x:v>234</x:v>
      </x:c>
      <x:c r="E55" s="2" t="s">
        <x:v>242</x:v>
      </x:c>
      <x:c r="F55" s="2" t="s">
        <x:v>120</x:v>
      </x:c>
      <x:c r="G55" s="2" t="s">
        <x:v>121</x:v>
      </x:c>
      <x:c r="H55" s="2"/>
      <x:c r="I55" s="2" t="s">
        <x:v>26</x:v>
      </x:c>
    </x:row>
    <x:row r="56" ht="37.95000076293945" customHeight="1">
      <x:c r="A56" s="2">
        <x:v>1</x:v>
      </x:c>
      <x:c r="B56" s="2" t="s">
        <x:v>41</x:v>
      </x:c>
      <x:c r="C56" s="2" t="s">
        <x:v>243</x:v>
      </x:c>
      <x:c r="D56" s="2" t="s">
        <x:v>234</x:v>
      </x:c>
      <x:c r="E56" s="2" t="s">
        <x:v>244</x:v>
      </x:c>
      <x:c r="F56" s="2" t="s">
        <x:v>120</x:v>
      </x:c>
      <x:c r="G56" s="2" t="s">
        <x:v>121</x:v>
      </x:c>
      <x:c r="H56" s="2"/>
      <x:c r="I56" s="2" t="s">
        <x:v>26</x:v>
      </x:c>
    </x:row>
    <x:row r="57" ht="37.95000076293945" customHeight="1">
      <x:c r="A57" s="2">
        <x:v>1</x:v>
      </x:c>
      <x:c r="B57" s="2" t="s">
        <x:v>41</x:v>
      </x:c>
      <x:c r="C57" s="2" t="s">
        <x:v>245</x:v>
      </x:c>
      <x:c r="D57" s="2" t="s">
        <x:v>234</x:v>
      </x:c>
      <x:c r="E57" s="2" t="s">
        <x:v>246</x:v>
      </x:c>
      <x:c r="F57" s="2" t="s">
        <x:v>120</x:v>
      </x:c>
      <x:c r="G57" s="2" t="s">
        <x:v>121</x:v>
      </x:c>
      <x:c r="H57" s="2"/>
      <x:c r="I57" s="2" t="s">
        <x:v>26</x:v>
      </x:c>
    </x:row>
    <x:row r="58" ht="37.95000076293945" customHeight="1">
      <x:c r="A58" s="2">
        <x:v>2</x:v>
      </x:c>
      <x:c r="B58" s="2" t="s">
        <x:v>58</x:v>
      </x:c>
      <x:c r="C58" s="2" t="s">
        <x:v>111</x:v>
      </x:c>
      <x:c r="D58" s="2" t="s">
        <x:v>112</x:v>
      </x:c>
      <x:c r="E58" s="2" t="s">
        <x:v>113</x:v>
      </x:c>
      <x:c r="F58" s="2" t="s">
        <x:v>114</x:v>
      </x:c>
      <x:c r="G58" s="2" t="s">
        <x:v>247</x:v>
      </x:c>
      <x:c r="H58" s="2"/>
      <x:c r="I58" s="2" t="s">
        <x:v>28</x:v>
      </x:c>
    </x:row>
    <x:row r="59" ht="37.95000076293945" customHeight="1">
      <x:c r="A59" s="2">
        <x:v>2</x:v>
      </x:c>
      <x:c r="B59" s="2" t="s">
        <x:v>58</x:v>
      </x:c>
      <x:c r="C59" s="2" t="s">
        <x:v>116</x:v>
      </x:c>
      <x:c r="D59" s="2" t="s">
        <x:v>112</x:v>
      </x:c>
      <x:c r="E59" s="2" t="s">
        <x:v>117</x:v>
      </x:c>
      <x:c r="F59" s="2" t="s">
        <x:v>114</x:v>
      </x:c>
      <x:c r="G59" s="2" t="s">
        <x:v>247</x:v>
      </x:c>
      <x:c r="H59" s="2"/>
      <x:c r="I59" s="2" t="s">
        <x:v>28</x:v>
      </x:c>
    </x:row>
    <x:row r="60" ht="37.95000076293945" customHeight="1">
      <x:c r="A60" s="2">
        <x:v>2</x:v>
      </x:c>
      <x:c r="B60" s="2" t="s">
        <x:v>58</x:v>
      </x:c>
      <x:c r="C60" s="2" t="s">
        <x:v>118</x:v>
      </x:c>
      <x:c r="D60" s="2" t="s">
        <x:v>112</x:v>
      </x:c>
      <x:c r="E60" s="2" t="s">
        <x:v>119</x:v>
      </x:c>
      <x:c r="F60" s="2" t="s">
        <x:v>114</x:v>
      </x:c>
      <x:c r="G60" s="2" t="s">
        <x:v>247</x:v>
      </x:c>
      <x:c r="H60" s="2"/>
      <x:c r="I60" s="2" t="s">
        <x:v>28</x:v>
      </x:c>
    </x:row>
    <x:row r="61" ht="37.95000076293945" customHeight="1">
      <x:c r="A61" s="2">
        <x:v>2</x:v>
      </x:c>
      <x:c r="B61" s="2" t="s">
        <x:v>58</x:v>
      </x:c>
      <x:c r="C61" s="2" t="s">
        <x:v>122</x:v>
      </x:c>
      <x:c r="D61" s="2" t="s">
        <x:v>112</x:v>
      </x:c>
      <x:c r="E61" s="2" t="s">
        <x:v>123</x:v>
      </x:c>
      <x:c r="F61" s="2" t="s">
        <x:v>114</x:v>
      </x:c>
      <x:c r="G61" s="2" t="s">
        <x:v>247</x:v>
      </x:c>
      <x:c r="H61" s="2"/>
      <x:c r="I61" s="2" t="s">
        <x:v>28</x:v>
      </x:c>
    </x:row>
    <x:row r="62" ht="37.95000076293945" customHeight="1">
      <x:c r="A62" s="2">
        <x:v>2</x:v>
      </x:c>
      <x:c r="B62" s="2" t="s">
        <x:v>58</x:v>
      </x:c>
      <x:c r="C62" s="2" t="s">
        <x:v>124</x:v>
      </x:c>
      <x:c r="D62" s="2" t="s">
        <x:v>112</x:v>
      </x:c>
      <x:c r="E62" s="2" t="s">
        <x:v>125</x:v>
      </x:c>
      <x:c r="F62" s="2" t="s">
        <x:v>120</x:v>
      </x:c>
      <x:c r="G62" s="2" t="s">
        <x:v>121</x:v>
      </x:c>
      <x:c r="H62" s="2"/>
      <x:c r="I62" s="2" t="s">
        <x:v>28</x:v>
      </x:c>
    </x:row>
    <x:row r="63" ht="37.95000076293945" customHeight="1">
      <x:c r="A63" s="2">
        <x:v>2</x:v>
      </x:c>
      <x:c r="B63" s="2" t="s">
        <x:v>58</x:v>
      </x:c>
      <x:c r="C63" s="2" t="s">
        <x:v>126</x:v>
      </x:c>
      <x:c r="D63" s="2" t="s">
        <x:v>112</x:v>
      </x:c>
      <x:c r="E63" s="2" t="s">
        <x:v>127</x:v>
      </x:c>
      <x:c r="F63" s="2" t="s">
        <x:v>114</x:v>
      </x:c>
      <x:c r="G63" s="2" t="s">
        <x:v>247</x:v>
      </x:c>
      <x:c r="H63" s="2"/>
      <x:c r="I63" s="2" t="s">
        <x:v>28</x:v>
      </x:c>
    </x:row>
    <x:row r="64" ht="37.95000076293945" customHeight="1">
      <x:c r="A64" s="2">
        <x:v>2</x:v>
      </x:c>
      <x:c r="B64" s="2" t="s">
        <x:v>58</x:v>
      </x:c>
      <x:c r="C64" s="2" t="s">
        <x:v>128</x:v>
      </x:c>
      <x:c r="D64" s="2" t="s">
        <x:v>129</x:v>
      </x:c>
      <x:c r="E64" s="2" t="s">
        <x:v>130</x:v>
      </x:c>
      <x:c r="F64" s="2" t="s">
        <x:v>137</x:v>
      </x:c>
      <x:c r="G64" s="2" t="s">
        <x:v>248</x:v>
      </x:c>
      <x:c r="H64" s="2" t="s">
        <x:v>249</x:v>
      </x:c>
      <x:c r="I64" s="2" t="s">
        <x:v>28</x:v>
      </x:c>
    </x:row>
    <x:row r="65" ht="37.95000076293945" customHeight="1">
      <x:c r="A65" s="2">
        <x:v>2</x:v>
      </x:c>
      <x:c r="B65" s="2" t="s">
        <x:v>58</x:v>
      </x:c>
      <x:c r="C65" s="2" t="s">
        <x:v>132</x:v>
      </x:c>
      <x:c r="D65" s="2" t="s">
        <x:v>129</x:v>
      </x:c>
      <x:c r="E65" s="2" t="s">
        <x:v>133</x:v>
      </x:c>
      <x:c r="F65" s="2" t="s">
        <x:v>131</x:v>
      </x:c>
      <x:c r="G65" s="2" t="s">
        <x:v>250</x:v>
      </x:c>
      <x:c r="H65" s="2" t="s">
        <x:v>60</x:v>
      </x:c>
      <x:c r="I65" s="2" t="s">
        <x:v>28</x:v>
      </x:c>
    </x:row>
    <x:row r="66" ht="37.95000076293945" customHeight="1">
      <x:c r="A66" s="2">
        <x:v>2</x:v>
      </x:c>
      <x:c r="B66" s="2" t="s">
        <x:v>58</x:v>
      </x:c>
      <x:c r="C66" s="2" t="s">
        <x:v>135</x:v>
      </x:c>
      <x:c r="D66" s="2" t="s">
        <x:v>129</x:v>
      </x:c>
      <x:c r="E66" s="2" t="s">
        <x:v>136</x:v>
      </x:c>
      <x:c r="F66" s="2" t="s">
        <x:v>131</x:v>
      </x:c>
      <x:c r="G66" s="2" t="s">
        <x:v>251</x:v>
      </x:c>
      <x:c r="H66" s="2" t="s">
        <x:v>252</x:v>
      </x:c>
      <x:c r="I66" s="2" t="s">
        <x:v>28</x:v>
      </x:c>
    </x:row>
    <x:row r="67" ht="37.95000076293945" customHeight="1">
      <x:c r="A67" s="2">
        <x:v>2</x:v>
      </x:c>
      <x:c r="B67" s="2" t="s">
        <x:v>58</x:v>
      </x:c>
      <x:c r="C67" s="2" t="s">
        <x:v>140</x:v>
      </x:c>
      <x:c r="D67" s="2" t="s">
        <x:v>129</x:v>
      </x:c>
      <x:c r="E67" s="2" t="s">
        <x:v>141</x:v>
      </x:c>
      <x:c r="F67" s="2" t="s">
        <x:v>131</x:v>
      </x:c>
      <x:c r="G67" s="2" t="s">
        <x:v>253</x:v>
      </x:c>
      <x:c r="H67" s="2" t="s">
        <x:v>254</x:v>
      </x:c>
      <x:c r="I67" s="2" t="s">
        <x:v>28</x:v>
      </x:c>
    </x:row>
    <x:row r="68" ht="37.95000076293945" customHeight="1">
      <x:c r="A68" s="2">
        <x:v>2</x:v>
      </x:c>
      <x:c r="B68" s="2" t="s">
        <x:v>58</x:v>
      </x:c>
      <x:c r="C68" s="2" t="s">
        <x:v>142</x:v>
      </x:c>
      <x:c r="D68" s="2" t="s">
        <x:v>129</x:v>
      </x:c>
      <x:c r="E68" s="2" t="s">
        <x:v>143</x:v>
      </x:c>
      <x:c r="F68" s="2" t="s">
        <x:v>137</x:v>
      </x:c>
      <x:c r="G68" s="2" t="s">
        <x:v>248</x:v>
      </x:c>
      <x:c r="H68" s="2" t="s">
        <x:v>249</x:v>
      </x:c>
      <x:c r="I68" s="2" t="s">
        <x:v>28</x:v>
      </x:c>
    </x:row>
    <x:row r="69" ht="37.95000076293945" customHeight="1">
      <x:c r="A69" s="2">
        <x:v>2</x:v>
      </x:c>
      <x:c r="B69" s="2" t="s">
        <x:v>58</x:v>
      </x:c>
      <x:c r="C69" s="2" t="s">
        <x:v>144</x:v>
      </x:c>
      <x:c r="D69" s="2" t="s">
        <x:v>129</x:v>
      </x:c>
      <x:c r="E69" s="2" t="s">
        <x:v>145</x:v>
      </x:c>
      <x:c r="F69" s="2" t="s">
        <x:v>114</x:v>
      </x:c>
      <x:c r="G69" s="2" t="s">
        <x:v>255</x:v>
      </x:c>
      <x:c r="H69" s="2"/>
      <x:c r="I69" s="2" t="s">
        <x:v>28</x:v>
      </x:c>
    </x:row>
    <x:row r="70" ht="37.95000076293945" customHeight="1">
      <x:c r="A70" s="2">
        <x:v>2</x:v>
      </x:c>
      <x:c r="B70" s="2" t="s">
        <x:v>58</x:v>
      </x:c>
      <x:c r="C70" s="2" t="s">
        <x:v>147</x:v>
      </x:c>
      <x:c r="D70" s="2" t="s">
        <x:v>148</x:v>
      </x:c>
      <x:c r="E70" s="2" t="s">
        <x:v>149</x:v>
      </x:c>
      <x:c r="F70" s="2" t="s">
        <x:v>120</x:v>
      </x:c>
      <x:c r="G70" s="2" t="s">
        <x:v>121</x:v>
      </x:c>
      <x:c r="H70" s="2"/>
      <x:c r="I70" s="2" t="s">
        <x:v>28</x:v>
      </x:c>
    </x:row>
    <x:row r="71" ht="37.95000076293945" customHeight="1">
      <x:c r="A71" s="2">
        <x:v>2</x:v>
      </x:c>
      <x:c r="B71" s="2" t="s">
        <x:v>58</x:v>
      </x:c>
      <x:c r="C71" s="2" t="s">
        <x:v>151</x:v>
      </x:c>
      <x:c r="D71" s="2" t="s">
        <x:v>148</x:v>
      </x:c>
      <x:c r="E71" s="2" t="s">
        <x:v>152</x:v>
      </x:c>
      <x:c r="F71" s="2" t="s">
        <x:v>114</x:v>
      </x:c>
      <x:c r="G71" s="2" t="s">
        <x:v>256</x:v>
      </x:c>
      <x:c r="H71" s="2"/>
      <x:c r="I71" s="2" t="s">
        <x:v>28</x:v>
      </x:c>
    </x:row>
    <x:row r="72" ht="37.95000076293945" customHeight="1">
      <x:c r="A72" s="2">
        <x:v>2</x:v>
      </x:c>
      <x:c r="B72" s="2" t="s">
        <x:v>58</x:v>
      </x:c>
      <x:c r="C72" s="2" t="s">
        <x:v>153</x:v>
      </x:c>
      <x:c r="D72" s="2" t="s">
        <x:v>148</x:v>
      </x:c>
      <x:c r="E72" s="2" t="s">
        <x:v>154</x:v>
      </x:c>
      <x:c r="F72" s="2" t="s">
        <x:v>114</x:v>
      </x:c>
      <x:c r="G72" s="2" t="s">
        <x:v>256</x:v>
      </x:c>
      <x:c r="H72" s="2"/>
      <x:c r="I72" s="2" t="s">
        <x:v>28</x:v>
      </x:c>
    </x:row>
    <x:row r="73" ht="37.95000076293945" customHeight="1">
      <x:c r="A73" s="2">
        <x:v>2</x:v>
      </x:c>
      <x:c r="B73" s="2" t="s">
        <x:v>58</x:v>
      </x:c>
      <x:c r="C73" s="2" t="s">
        <x:v>155</x:v>
      </x:c>
      <x:c r="D73" s="2" t="s">
        <x:v>148</x:v>
      </x:c>
      <x:c r="E73" s="2" t="s">
        <x:v>156</x:v>
      </x:c>
      <x:c r="F73" s="2" t="s">
        <x:v>120</x:v>
      </x:c>
      <x:c r="G73" s="2" t="s">
        <x:v>121</x:v>
      </x:c>
      <x:c r="H73" s="2"/>
      <x:c r="I73" s="2" t="s">
        <x:v>28</x:v>
      </x:c>
    </x:row>
    <x:row r="74" ht="37.95000076293945" customHeight="1">
      <x:c r="A74" s="2">
        <x:v>2</x:v>
      </x:c>
      <x:c r="B74" s="2" t="s">
        <x:v>58</x:v>
      </x:c>
      <x:c r="C74" s="2" t="s">
        <x:v>157</x:v>
      </x:c>
      <x:c r="D74" s="2" t="s">
        <x:v>148</x:v>
      </x:c>
      <x:c r="E74" s="2" t="s">
        <x:v>158</x:v>
      </x:c>
      <x:c r="F74" s="2" t="s">
        <x:v>114</x:v>
      </x:c>
      <x:c r="G74" s="2" t="s">
        <x:v>256</x:v>
      </x:c>
      <x:c r="H74" s="2"/>
      <x:c r="I74" s="2" t="s">
        <x:v>28</x:v>
      </x:c>
    </x:row>
    <x:row r="75" ht="37.95000076293945" customHeight="1">
      <x:c r="A75" s="2">
        <x:v>2</x:v>
      </x:c>
      <x:c r="B75" s="2" t="s">
        <x:v>58</x:v>
      </x:c>
      <x:c r="C75" s="2" t="s">
        <x:v>159</x:v>
      </x:c>
      <x:c r="D75" s="2" t="s">
        <x:v>148</x:v>
      </x:c>
      <x:c r="E75" s="2" t="s">
        <x:v>160</x:v>
      </x:c>
      <x:c r="F75" s="2" t="s">
        <x:v>120</x:v>
      </x:c>
      <x:c r="G75" s="2" t="s">
        <x:v>121</x:v>
      </x:c>
      <x:c r="H75" s="2"/>
      <x:c r="I75" s="2" t="s">
        <x:v>28</x:v>
      </x:c>
    </x:row>
    <x:row r="76" ht="37.95000076293945" customHeight="1">
      <x:c r="A76" s="2">
        <x:v>2</x:v>
      </x:c>
      <x:c r="B76" s="2" t="s">
        <x:v>58</x:v>
      </x:c>
      <x:c r="C76" s="2" t="s">
        <x:v>161</x:v>
      </x:c>
      <x:c r="D76" s="2" t="s">
        <x:v>162</x:v>
      </x:c>
      <x:c r="E76" s="2" t="s">
        <x:v>163</x:v>
      </x:c>
      <x:c r="F76" s="2" t="s">
        <x:v>114</x:v>
      </x:c>
      <x:c r="G76" s="2" t="s">
        <x:v>257</x:v>
      </x:c>
      <x:c r="H76" s="2"/>
      <x:c r="I76" s="2" t="s">
        <x:v>28</x:v>
      </x:c>
    </x:row>
    <x:row r="77" ht="37.95000076293945" customHeight="1">
      <x:c r="A77" s="2">
        <x:v>2</x:v>
      </x:c>
      <x:c r="B77" s="2" t="s">
        <x:v>58</x:v>
      </x:c>
      <x:c r="C77" s="2" t="s">
        <x:v>165</x:v>
      </x:c>
      <x:c r="D77" s="2" t="s">
        <x:v>162</x:v>
      </x:c>
      <x:c r="E77" s="2" t="s">
        <x:v>166</x:v>
      </x:c>
      <x:c r="F77" s="2" t="s">
        <x:v>114</x:v>
      </x:c>
      <x:c r="G77" s="2" t="s">
        <x:v>257</x:v>
      </x:c>
      <x:c r="H77" s="2"/>
      <x:c r="I77" s="2" t="s">
        <x:v>28</x:v>
      </x:c>
    </x:row>
    <x:row r="78" ht="37.95000076293945" customHeight="1">
      <x:c r="A78" s="2">
        <x:v>2</x:v>
      </x:c>
      <x:c r="B78" s="2" t="s">
        <x:v>58</x:v>
      </x:c>
      <x:c r="C78" s="2" t="s">
        <x:v>167</x:v>
      </x:c>
      <x:c r="D78" s="2" t="s">
        <x:v>162</x:v>
      </x:c>
      <x:c r="E78" s="2" t="s">
        <x:v>168</x:v>
      </x:c>
      <x:c r="F78" s="2" t="s">
        <x:v>114</x:v>
      </x:c>
      <x:c r="G78" s="2" t="s">
        <x:v>257</x:v>
      </x:c>
      <x:c r="H78" s="2"/>
      <x:c r="I78" s="2" t="s">
        <x:v>28</x:v>
      </x:c>
    </x:row>
    <x:row r="79" ht="37.95000076293945" customHeight="1">
      <x:c r="A79" s="2">
        <x:v>2</x:v>
      </x:c>
      <x:c r="B79" s="2" t="s">
        <x:v>58</x:v>
      </x:c>
      <x:c r="C79" s="2" t="s">
        <x:v>169</x:v>
      </x:c>
      <x:c r="D79" s="2" t="s">
        <x:v>162</x:v>
      </x:c>
      <x:c r="E79" s="2" t="s">
        <x:v>170</x:v>
      </x:c>
      <x:c r="F79" s="2" t="s">
        <x:v>131</x:v>
      </x:c>
      <x:c r="G79" s="2" t="s">
        <x:v>258</x:v>
      </x:c>
      <x:c r="H79" s="2" t="s">
        <x:v>259</x:v>
      </x:c>
      <x:c r="I79" s="2" t="s">
        <x:v>28</x:v>
      </x:c>
    </x:row>
    <x:row r="80" ht="37.95000076293945" customHeight="1">
      <x:c r="A80" s="2">
        <x:v>2</x:v>
      </x:c>
      <x:c r="B80" s="2" t="s">
        <x:v>58</x:v>
      </x:c>
      <x:c r="C80" s="2" t="s">
        <x:v>171</x:v>
      </x:c>
      <x:c r="D80" s="2" t="s">
        <x:v>162</x:v>
      </x:c>
      <x:c r="E80" s="2" t="s">
        <x:v>172</x:v>
      </x:c>
      <x:c r="F80" s="2" t="s">
        <x:v>120</x:v>
      </x:c>
      <x:c r="G80" s="2" t="s">
        <x:v>121</x:v>
      </x:c>
      <x:c r="H80" s="2"/>
      <x:c r="I80" s="2" t="s">
        <x:v>28</x:v>
      </x:c>
    </x:row>
    <x:row r="81" ht="37.95000076293945" customHeight="1">
      <x:c r="A81" s="2">
        <x:v>2</x:v>
      </x:c>
      <x:c r="B81" s="2" t="s">
        <x:v>58</x:v>
      </x:c>
      <x:c r="C81" s="2" t="s">
        <x:v>175</x:v>
      </x:c>
      <x:c r="D81" s="2" t="s">
        <x:v>162</x:v>
      </x:c>
      <x:c r="E81" s="2" t="s">
        <x:v>176</x:v>
      </x:c>
      <x:c r="F81" s="2" t="s">
        <x:v>120</x:v>
      </x:c>
      <x:c r="G81" s="2" t="s">
        <x:v>121</x:v>
      </x:c>
      <x:c r="H81" s="2"/>
      <x:c r="I81" s="2" t="s">
        <x:v>28</x:v>
      </x:c>
    </x:row>
    <x:row r="82" ht="37.95000076293945" customHeight="1">
      <x:c r="A82" s="2">
        <x:v>2</x:v>
      </x:c>
      <x:c r="B82" s="2" t="s">
        <x:v>58</x:v>
      </x:c>
      <x:c r="C82" s="2" t="s">
        <x:v>177</x:v>
      </x:c>
      <x:c r="D82" s="2" t="s">
        <x:v>178</x:v>
      </x:c>
      <x:c r="E82" s="2" t="s">
        <x:v>179</x:v>
      </x:c>
      <x:c r="F82" s="2" t="s">
        <x:v>114</x:v>
      </x:c>
      <x:c r="G82" s="2" t="s">
        <x:v>260</x:v>
      </x:c>
      <x:c r="H82" s="2"/>
      <x:c r="I82" s="2" t="s">
        <x:v>28</x:v>
      </x:c>
    </x:row>
    <x:row r="83" ht="37.95000076293945" customHeight="1">
      <x:c r="A83" s="2">
        <x:v>2</x:v>
      </x:c>
      <x:c r="B83" s="2" t="s">
        <x:v>58</x:v>
      </x:c>
      <x:c r="C83" s="2" t="s">
        <x:v>180</x:v>
      </x:c>
      <x:c r="D83" s="2" t="s">
        <x:v>178</x:v>
      </x:c>
      <x:c r="E83" s="2" t="s">
        <x:v>181</x:v>
      </x:c>
      <x:c r="F83" s="2" t="s">
        <x:v>114</x:v>
      </x:c>
      <x:c r="G83" s="2" t="s">
        <x:v>260</x:v>
      </x:c>
      <x:c r="H83" s="2"/>
      <x:c r="I83" s="2" t="s">
        <x:v>28</x:v>
      </x:c>
    </x:row>
    <x:row r="84" ht="37.95000076293945" customHeight="1">
      <x:c r="A84" s="2">
        <x:v>2</x:v>
      </x:c>
      <x:c r="B84" s="2" t="s">
        <x:v>58</x:v>
      </x:c>
      <x:c r="C84" s="2" t="s">
        <x:v>183</x:v>
      </x:c>
      <x:c r="D84" s="2" t="s">
        <x:v>178</x:v>
      </x:c>
      <x:c r="E84" s="2" t="s">
        <x:v>184</x:v>
      </x:c>
      <x:c r="F84" s="2" t="s">
        <x:v>114</x:v>
      </x:c>
      <x:c r="G84" s="2" t="s">
        <x:v>260</x:v>
      </x:c>
      <x:c r="H84" s="2"/>
      <x:c r="I84" s="2" t="s">
        <x:v>28</x:v>
      </x:c>
    </x:row>
    <x:row r="85" ht="37.95000076293945" customHeight="1">
      <x:c r="A85" s="2">
        <x:v>2</x:v>
      </x:c>
      <x:c r="B85" s="2" t="s">
        <x:v>58</x:v>
      </x:c>
      <x:c r="C85" s="2" t="s">
        <x:v>185</x:v>
      </x:c>
      <x:c r="D85" s="2" t="s">
        <x:v>178</x:v>
      </x:c>
      <x:c r="E85" s="2" t="s">
        <x:v>186</x:v>
      </x:c>
      <x:c r="F85" s="2" t="s">
        <x:v>120</x:v>
      </x:c>
      <x:c r="G85" s="2" t="s">
        <x:v>121</x:v>
      </x:c>
      <x:c r="H85" s="2"/>
      <x:c r="I85" s="2" t="s">
        <x:v>28</x:v>
      </x:c>
    </x:row>
    <x:row r="86" ht="37.95000076293945" customHeight="1">
      <x:c r="A86" s="2">
        <x:v>2</x:v>
      </x:c>
      <x:c r="B86" s="2" t="s">
        <x:v>58</x:v>
      </x:c>
      <x:c r="C86" s="2" t="s">
        <x:v>187</x:v>
      </x:c>
      <x:c r="D86" s="2" t="s">
        <x:v>178</x:v>
      </x:c>
      <x:c r="E86" s="2" t="s">
        <x:v>188</x:v>
      </x:c>
      <x:c r="F86" s="2" t="s">
        <x:v>114</x:v>
      </x:c>
      <x:c r="G86" s="2" t="s">
        <x:v>260</x:v>
      </x:c>
      <x:c r="H86" s="2"/>
      <x:c r="I86" s="2" t="s">
        <x:v>28</x:v>
      </x:c>
    </x:row>
    <x:row r="87" ht="37.95000076293945" customHeight="1">
      <x:c r="A87" s="2">
        <x:v>2</x:v>
      </x:c>
      <x:c r="B87" s="2" t="s">
        <x:v>58</x:v>
      </x:c>
      <x:c r="C87" s="2" t="s">
        <x:v>189</x:v>
      </x:c>
      <x:c r="D87" s="2" t="s">
        <x:v>178</x:v>
      </x:c>
      <x:c r="E87" s="2" t="s">
        <x:v>190</x:v>
      </x:c>
      <x:c r="F87" s="2" t="s">
        <x:v>120</x:v>
      </x:c>
      <x:c r="G87" s="2" t="s">
        <x:v>121</x:v>
      </x:c>
      <x:c r="H87" s="2"/>
      <x:c r="I87" s="2" t="s">
        <x:v>28</x:v>
      </x:c>
    </x:row>
    <x:row r="88" ht="37.95000076293945" customHeight="1">
      <x:c r="A88" s="2">
        <x:v>2</x:v>
      </x:c>
      <x:c r="B88" s="2" t="s">
        <x:v>58</x:v>
      </x:c>
      <x:c r="C88" s="2" t="s">
        <x:v>191</x:v>
      </x:c>
      <x:c r="D88" s="2" t="s">
        <x:v>192</x:v>
      </x:c>
      <x:c r="E88" s="2" t="s">
        <x:v>193</x:v>
      </x:c>
      <x:c r="F88" s="2" t="s">
        <x:v>114</x:v>
      </x:c>
      <x:c r="G88" s="2" t="s">
        <x:v>261</x:v>
      </x:c>
      <x:c r="H88" s="2"/>
      <x:c r="I88" s="2" t="s">
        <x:v>28</x:v>
      </x:c>
    </x:row>
    <x:row r="89" ht="37.95000076293945" customHeight="1">
      <x:c r="A89" s="2">
        <x:v>2</x:v>
      </x:c>
      <x:c r="B89" s="2" t="s">
        <x:v>58</x:v>
      </x:c>
      <x:c r="C89" s="2" t="s">
        <x:v>195</x:v>
      </x:c>
      <x:c r="D89" s="2" t="s">
        <x:v>192</x:v>
      </x:c>
      <x:c r="E89" s="2" t="s">
        <x:v>196</x:v>
      </x:c>
      <x:c r="F89" s="2" t="s">
        <x:v>114</x:v>
      </x:c>
      <x:c r="G89" s="2" t="s">
        <x:v>261</x:v>
      </x:c>
      <x:c r="H89" s="2"/>
      <x:c r="I89" s="2" t="s">
        <x:v>28</x:v>
      </x:c>
    </x:row>
    <x:row r="90" ht="37.95000076293945" customHeight="1">
      <x:c r="A90" s="2">
        <x:v>2</x:v>
      </x:c>
      <x:c r="B90" s="2" t="s">
        <x:v>58</x:v>
      </x:c>
      <x:c r="C90" s="2" t="s">
        <x:v>197</x:v>
      </x:c>
      <x:c r="D90" s="2" t="s">
        <x:v>192</x:v>
      </x:c>
      <x:c r="E90" s="2" t="s">
        <x:v>198</x:v>
      </x:c>
      <x:c r="F90" s="2" t="s">
        <x:v>114</x:v>
      </x:c>
      <x:c r="G90" s="2" t="s">
        <x:v>261</x:v>
      </x:c>
      <x:c r="H90" s="2"/>
      <x:c r="I90" s="2" t="s">
        <x:v>28</x:v>
      </x:c>
    </x:row>
    <x:row r="91" ht="37.95000076293945" customHeight="1">
      <x:c r="A91" s="2">
        <x:v>2</x:v>
      </x:c>
      <x:c r="B91" s="2" t="s">
        <x:v>58</x:v>
      </x:c>
      <x:c r="C91" s="2" t="s">
        <x:v>199</x:v>
      </x:c>
      <x:c r="D91" s="2" t="s">
        <x:v>192</x:v>
      </x:c>
      <x:c r="E91" s="2" t="s">
        <x:v>200</x:v>
      </x:c>
      <x:c r="F91" s="2" t="s">
        <x:v>114</x:v>
      </x:c>
      <x:c r="G91" s="2" t="s">
        <x:v>261</x:v>
      </x:c>
      <x:c r="H91" s="2"/>
      <x:c r="I91" s="2" t="s">
        <x:v>28</x:v>
      </x:c>
    </x:row>
    <x:row r="92" ht="37.95000076293945" customHeight="1">
      <x:c r="A92" s="2">
        <x:v>2</x:v>
      </x:c>
      <x:c r="B92" s="2" t="s">
        <x:v>58</x:v>
      </x:c>
      <x:c r="C92" s="2" t="s">
        <x:v>201</x:v>
      </x:c>
      <x:c r="D92" s="2" t="s">
        <x:v>192</x:v>
      </x:c>
      <x:c r="E92" s="2" t="s">
        <x:v>202</x:v>
      </x:c>
      <x:c r="F92" s="2" t="s">
        <x:v>114</x:v>
      </x:c>
      <x:c r="G92" s="2" t="s">
        <x:v>261</x:v>
      </x:c>
      <x:c r="H92" s="2"/>
      <x:c r="I92" s="2" t="s">
        <x:v>28</x:v>
      </x:c>
    </x:row>
    <x:row r="93" ht="37.95000076293945" customHeight="1">
      <x:c r="A93" s="2">
        <x:v>2</x:v>
      </x:c>
      <x:c r="B93" s="2" t="s">
        <x:v>58</x:v>
      </x:c>
      <x:c r="C93" s="2" t="s">
        <x:v>203</x:v>
      </x:c>
      <x:c r="D93" s="2" t="s">
        <x:v>204</x:v>
      </x:c>
      <x:c r="E93" s="2" t="s">
        <x:v>205</x:v>
      </x:c>
      <x:c r="F93" s="2" t="s">
        <x:v>120</x:v>
      </x:c>
      <x:c r="G93" s="2" t="s">
        <x:v>121</x:v>
      </x:c>
      <x:c r="H93" s="2"/>
      <x:c r="I93" s="2" t="s">
        <x:v>28</x:v>
      </x:c>
    </x:row>
    <x:row r="94" ht="37.95000076293945" customHeight="1">
      <x:c r="A94" s="2">
        <x:v>2</x:v>
      </x:c>
      <x:c r="B94" s="2" t="s">
        <x:v>58</x:v>
      </x:c>
      <x:c r="C94" s="2" t="s">
        <x:v>206</x:v>
      </x:c>
      <x:c r="D94" s="2" t="s">
        <x:v>204</x:v>
      </x:c>
      <x:c r="E94" s="2" t="s">
        <x:v>207</x:v>
      </x:c>
      <x:c r="F94" s="2" t="s">
        <x:v>120</x:v>
      </x:c>
      <x:c r="G94" s="2" t="s">
        <x:v>121</x:v>
      </x:c>
      <x:c r="H94" s="2"/>
      <x:c r="I94" s="2" t="s">
        <x:v>28</x:v>
      </x:c>
    </x:row>
    <x:row r="95" ht="37.95000076293945" customHeight="1">
      <x:c r="A95" s="2">
        <x:v>2</x:v>
      </x:c>
      <x:c r="B95" s="2" t="s">
        <x:v>58</x:v>
      </x:c>
      <x:c r="C95" s="2" t="s">
        <x:v>208</x:v>
      </x:c>
      <x:c r="D95" s="2" t="s">
        <x:v>204</x:v>
      </x:c>
      <x:c r="E95" s="2" t="s">
        <x:v>209</x:v>
      </x:c>
      <x:c r="F95" s="2" t="s">
        <x:v>120</x:v>
      </x:c>
      <x:c r="G95" s="2" t="s">
        <x:v>121</x:v>
      </x:c>
      <x:c r="H95" s="2"/>
      <x:c r="I95" s="2" t="s">
        <x:v>28</x:v>
      </x:c>
    </x:row>
    <x:row r="96" ht="37.95000076293945" customHeight="1">
      <x:c r="A96" s="2">
        <x:v>2</x:v>
      </x:c>
      <x:c r="B96" s="2" t="s">
        <x:v>58</x:v>
      </x:c>
      <x:c r="C96" s="2" t="s">
        <x:v>212</x:v>
      </x:c>
      <x:c r="D96" s="2" t="s">
        <x:v>204</x:v>
      </x:c>
      <x:c r="E96" s="2" t="s">
        <x:v>213</x:v>
      </x:c>
      <x:c r="F96" s="2" t="s">
        <x:v>120</x:v>
      </x:c>
      <x:c r="G96" s="2" t="s">
        <x:v>121</x:v>
      </x:c>
      <x:c r="H96" s="2"/>
      <x:c r="I96" s="2" t="s">
        <x:v>28</x:v>
      </x:c>
    </x:row>
    <x:row r="97" ht="37.95000076293945" customHeight="1">
      <x:c r="A97" s="2">
        <x:v>2</x:v>
      </x:c>
      <x:c r="B97" s="2" t="s">
        <x:v>58</x:v>
      </x:c>
      <x:c r="C97" s="2" t="s">
        <x:v>214</x:v>
      </x:c>
      <x:c r="D97" s="2" t="s">
        <x:v>204</x:v>
      </x:c>
      <x:c r="E97" s="2" t="s">
        <x:v>215</x:v>
      </x:c>
      <x:c r="F97" s="2" t="s">
        <x:v>114</x:v>
      </x:c>
      <x:c r="G97" s="2" t="s">
        <x:v>262</x:v>
      </x:c>
      <x:c r="H97" s="2"/>
      <x:c r="I97" s="2" t="s">
        <x:v>28</x:v>
      </x:c>
    </x:row>
    <x:row r="98" ht="37.95000076293945" customHeight="1">
      <x:c r="A98" s="2">
        <x:v>2</x:v>
      </x:c>
      <x:c r="B98" s="2" t="s">
        <x:v>58</x:v>
      </x:c>
      <x:c r="C98" s="2" t="s">
        <x:v>217</x:v>
      </x:c>
      <x:c r="D98" s="2" t="s">
        <x:v>204</x:v>
      </x:c>
      <x:c r="E98" s="2" t="s">
        <x:v>218</x:v>
      </x:c>
      <x:c r="F98" s="2" t="s">
        <x:v>114</x:v>
      </x:c>
      <x:c r="G98" s="2" t="s">
        <x:v>262</x:v>
      </x:c>
      <x:c r="H98" s="2"/>
      <x:c r="I98" s="2" t="s">
        <x:v>28</x:v>
      </x:c>
    </x:row>
    <x:row r="99" ht="37.95000076293945" customHeight="1">
      <x:c r="A99" s="2">
        <x:v>2</x:v>
      </x:c>
      <x:c r="B99" s="2" t="s">
        <x:v>58</x:v>
      </x:c>
      <x:c r="C99" s="2" t="s">
        <x:v>219</x:v>
      </x:c>
      <x:c r="D99" s="2" t="s">
        <x:v>220</x:v>
      </x:c>
      <x:c r="E99" s="2" t="s">
        <x:v>221</x:v>
      </x:c>
      <x:c r="F99" s="2" t="s">
        <x:v>114</x:v>
      </x:c>
      <x:c r="G99" s="2" t="s">
        <x:v>263</x:v>
      </x:c>
      <x:c r="H99" s="2"/>
      <x:c r="I99" s="2" t="s">
        <x:v>28</x:v>
      </x:c>
    </x:row>
    <x:row r="100" ht="37.95000076293945" customHeight="1">
      <x:c r="A100" s="2">
        <x:v>2</x:v>
      </x:c>
      <x:c r="B100" s="2" t="s">
        <x:v>58</x:v>
      </x:c>
      <x:c r="C100" s="2" t="s">
        <x:v>223</x:v>
      </x:c>
      <x:c r="D100" s="2" t="s">
        <x:v>220</x:v>
      </x:c>
      <x:c r="E100" s="2" t="s">
        <x:v>224</x:v>
      </x:c>
      <x:c r="F100" s="2" t="s">
        <x:v>114</x:v>
      </x:c>
      <x:c r="G100" s="2" t="s">
        <x:v>263</x:v>
      </x:c>
      <x:c r="H100" s="2"/>
      <x:c r="I100" s="2" t="s">
        <x:v>28</x:v>
      </x:c>
    </x:row>
    <x:row r="101" ht="37.95000076293945" customHeight="1">
      <x:c r="A101" s="2">
        <x:v>2</x:v>
      </x:c>
      <x:c r="B101" s="2" t="s">
        <x:v>58</x:v>
      </x:c>
      <x:c r="C101" s="2" t="s">
        <x:v>225</x:v>
      </x:c>
      <x:c r="D101" s="2" t="s">
        <x:v>220</x:v>
      </x:c>
      <x:c r="E101" s="2" t="s">
        <x:v>226</x:v>
      </x:c>
      <x:c r="F101" s="2" t="s">
        <x:v>114</x:v>
      </x:c>
      <x:c r="G101" s="2" t="s">
        <x:v>263</x:v>
      </x:c>
      <x:c r="H101" s="2"/>
      <x:c r="I101" s="2" t="s">
        <x:v>28</x:v>
      </x:c>
    </x:row>
    <x:row r="102" ht="37.95000076293945" customHeight="1">
      <x:c r="A102" s="2">
        <x:v>2</x:v>
      </x:c>
      <x:c r="B102" s="2" t="s">
        <x:v>58</x:v>
      </x:c>
      <x:c r="C102" s="2" t="s">
        <x:v>227</x:v>
      </x:c>
      <x:c r="D102" s="2" t="s">
        <x:v>220</x:v>
      </x:c>
      <x:c r="E102" s="2" t="s">
        <x:v>228</x:v>
      </x:c>
      <x:c r="F102" s="2" t="s">
        <x:v>229</x:v>
      </x:c>
      <x:c r="G102" s="2" t="s">
        <x:v>230</x:v>
      </x:c>
      <x:c r="H102" s="2"/>
      <x:c r="I102" s="2" t="s">
        <x:v>28</x:v>
      </x:c>
    </x:row>
    <x:row r="103" ht="37.95000076293945" customHeight="1">
      <x:c r="A103" s="2">
        <x:v>2</x:v>
      </x:c>
      <x:c r="B103" s="2" t="s">
        <x:v>58</x:v>
      </x:c>
      <x:c r="C103" s="2" t="s">
        <x:v>231</x:v>
      </x:c>
      <x:c r="D103" s="2" t="s">
        <x:v>220</x:v>
      </x:c>
      <x:c r="E103" s="2" t="s">
        <x:v>232</x:v>
      </x:c>
      <x:c r="F103" s="2" t="s">
        <x:v>114</x:v>
      </x:c>
      <x:c r="G103" s="2" t="s">
        <x:v>263</x:v>
      </x:c>
      <x:c r="H103" s="2"/>
      <x:c r="I103" s="2" t="s">
        <x:v>28</x:v>
      </x:c>
    </x:row>
    <x:row r="104" ht="37.95000076293945" customHeight="1">
      <x:c r="A104" s="2">
        <x:v>2</x:v>
      </x:c>
      <x:c r="B104" s="2" t="s">
        <x:v>58</x:v>
      </x:c>
      <x:c r="C104" s="2" t="s">
        <x:v>233</x:v>
      </x:c>
      <x:c r="D104" s="2" t="s">
        <x:v>234</x:v>
      </x:c>
      <x:c r="E104" s="2" t="s">
        <x:v>235</x:v>
      </x:c>
      <x:c r="F104" s="2" t="s">
        <x:v>120</x:v>
      </x:c>
      <x:c r="G104" s="2" t="s">
        <x:v>121</x:v>
      </x:c>
      <x:c r="H104" s="2"/>
      <x:c r="I104" s="2" t="s">
        <x:v>28</x:v>
      </x:c>
    </x:row>
    <x:row r="105" ht="37.95000076293945" customHeight="1">
      <x:c r="A105" s="2">
        <x:v>2</x:v>
      </x:c>
      <x:c r="B105" s="2" t="s">
        <x:v>58</x:v>
      </x:c>
      <x:c r="C105" s="2" t="s">
        <x:v>236</x:v>
      </x:c>
      <x:c r="D105" s="2" t="s">
        <x:v>234</x:v>
      </x:c>
      <x:c r="E105" s="2" t="s">
        <x:v>237</x:v>
      </x:c>
      <x:c r="F105" s="2" t="s">
        <x:v>114</x:v>
      </x:c>
      <x:c r="G105" s="2" t="s">
        <x:v>264</x:v>
      </x:c>
      <x:c r="H105" s="2"/>
      <x:c r="I105" s="2" t="s">
        <x:v>28</x:v>
      </x:c>
    </x:row>
    <x:row r="106" ht="37.95000076293945" customHeight="1">
      <x:c r="A106" s="2">
        <x:v>2</x:v>
      </x:c>
      <x:c r="B106" s="2" t="s">
        <x:v>58</x:v>
      </x:c>
      <x:c r="C106" s="2" t="s">
        <x:v>239</x:v>
      </x:c>
      <x:c r="D106" s="2" t="s">
        <x:v>234</x:v>
      </x:c>
      <x:c r="E106" s="2" t="s">
        <x:v>240</x:v>
      </x:c>
      <x:c r="F106" s="2" t="s">
        <x:v>120</x:v>
      </x:c>
      <x:c r="G106" s="2" t="s">
        <x:v>121</x:v>
      </x:c>
      <x:c r="H106" s="2"/>
      <x:c r="I106" s="2" t="s">
        <x:v>28</x:v>
      </x:c>
    </x:row>
    <x:row r="107" ht="37.95000076293945" customHeight="1">
      <x:c r="A107" s="2">
        <x:v>2</x:v>
      </x:c>
      <x:c r="B107" s="2" t="s">
        <x:v>58</x:v>
      </x:c>
      <x:c r="C107" s="2" t="s">
        <x:v>241</x:v>
      </x:c>
      <x:c r="D107" s="2" t="s">
        <x:v>234</x:v>
      </x:c>
      <x:c r="E107" s="2" t="s">
        <x:v>242</x:v>
      </x:c>
      <x:c r="F107" s="2" t="s">
        <x:v>120</x:v>
      </x:c>
      <x:c r="G107" s="2" t="s">
        <x:v>121</x:v>
      </x:c>
      <x:c r="H107" s="2"/>
      <x:c r="I107" s="2" t="s">
        <x:v>28</x:v>
      </x:c>
    </x:row>
    <x:row r="108" ht="37.95000076293945" customHeight="1">
      <x:c r="A108" s="2">
        <x:v>2</x:v>
      </x:c>
      <x:c r="B108" s="2" t="s">
        <x:v>58</x:v>
      </x:c>
      <x:c r="C108" s="2" t="s">
        <x:v>243</x:v>
      </x:c>
      <x:c r="D108" s="2" t="s">
        <x:v>234</x:v>
      </x:c>
      <x:c r="E108" s="2" t="s">
        <x:v>244</x:v>
      </x:c>
      <x:c r="F108" s="2" t="s">
        <x:v>120</x:v>
      </x:c>
      <x:c r="G108" s="2" t="s">
        <x:v>121</x:v>
      </x:c>
      <x:c r="H108" s="2"/>
      <x:c r="I108" s="2" t="s">
        <x:v>28</x:v>
      </x:c>
    </x:row>
    <x:row r="109" ht="37.95000076293945" customHeight="1">
      <x:c r="A109" s="2">
        <x:v>2</x:v>
      </x:c>
      <x:c r="B109" s="2" t="s">
        <x:v>58</x:v>
      </x:c>
      <x:c r="C109" s="2" t="s">
        <x:v>245</x:v>
      </x:c>
      <x:c r="D109" s="2" t="s">
        <x:v>234</x:v>
      </x:c>
      <x:c r="E109" s="2" t="s">
        <x:v>246</x:v>
      </x:c>
      <x:c r="F109" s="2" t="s">
        <x:v>120</x:v>
      </x:c>
      <x:c r="G109" s="2" t="s">
        <x:v>121</x:v>
      </x:c>
      <x:c r="H109" s="2"/>
      <x:c r="I109" s="2" t="s">
        <x:v>28</x:v>
      </x:c>
    </x:row>
    <x:row r="110" ht="37.95000076293945" customHeight="1">
      <x:c r="A110" s="2">
        <x:v>3</x:v>
      </x:c>
      <x:c r="B110" s="2" t="s">
        <x:v>68</x:v>
      </x:c>
      <x:c r="C110" s="2" t="s">
        <x:v>111</x:v>
      </x:c>
      <x:c r="D110" s="2" t="s">
        <x:v>112</x:v>
      </x:c>
      <x:c r="E110" s="2" t="s">
        <x:v>113</x:v>
      </x:c>
      <x:c r="F110" s="2" t="s">
        <x:v>114</x:v>
      </x:c>
      <x:c r="G110" s="2" t="s">
        <x:v>265</x:v>
      </x:c>
      <x:c r="H110" s="2"/>
      <x:c r="I110" s="2" t="s">
        <x:v>29</x:v>
      </x:c>
    </x:row>
    <x:row r="111" ht="37.95000076293945" customHeight="1">
      <x:c r="A111" s="2">
        <x:v>3</x:v>
      </x:c>
      <x:c r="B111" s="2" t="s">
        <x:v>68</x:v>
      </x:c>
      <x:c r="C111" s="2" t="s">
        <x:v>116</x:v>
      </x:c>
      <x:c r="D111" s="2" t="s">
        <x:v>112</x:v>
      </x:c>
      <x:c r="E111" s="2" t="s">
        <x:v>117</x:v>
      </x:c>
      <x:c r="F111" s="2" t="s">
        <x:v>114</x:v>
      </x:c>
      <x:c r="G111" s="2" t="s">
        <x:v>265</x:v>
      </x:c>
      <x:c r="H111" s="2"/>
      <x:c r="I111" s="2" t="s">
        <x:v>29</x:v>
      </x:c>
    </x:row>
    <x:row r="112" ht="37.95000076293945" customHeight="1">
      <x:c r="A112" s="2">
        <x:v>3</x:v>
      </x:c>
      <x:c r="B112" s="2" t="s">
        <x:v>68</x:v>
      </x:c>
      <x:c r="C112" s="2" t="s">
        <x:v>118</x:v>
      </x:c>
      <x:c r="D112" s="2" t="s">
        <x:v>112</x:v>
      </x:c>
      <x:c r="E112" s="2" t="s">
        <x:v>119</x:v>
      </x:c>
      <x:c r="F112" s="2" t="s">
        <x:v>120</x:v>
      </x:c>
      <x:c r="G112" s="2" t="s">
        <x:v>121</x:v>
      </x:c>
      <x:c r="H112" s="2"/>
      <x:c r="I112" s="2" t="s">
        <x:v>29</x:v>
      </x:c>
    </x:row>
    <x:row r="113" ht="37.95000076293945" customHeight="1">
      <x:c r="A113" s="2">
        <x:v>3</x:v>
      </x:c>
      <x:c r="B113" s="2" t="s">
        <x:v>68</x:v>
      </x:c>
      <x:c r="C113" s="2" t="s">
        <x:v>122</x:v>
      </x:c>
      <x:c r="D113" s="2" t="s">
        <x:v>112</x:v>
      </x:c>
      <x:c r="E113" s="2" t="s">
        <x:v>123</x:v>
      </x:c>
      <x:c r="F113" s="2" t="s">
        <x:v>114</x:v>
      </x:c>
      <x:c r="G113" s="2" t="s">
        <x:v>265</x:v>
      </x:c>
      <x:c r="H113" s="2"/>
      <x:c r="I113" s="2" t="s">
        <x:v>29</x:v>
      </x:c>
    </x:row>
    <x:row r="114" ht="37.95000076293945" customHeight="1">
      <x:c r="A114" s="2">
        <x:v>3</x:v>
      </x:c>
      <x:c r="B114" s="2" t="s">
        <x:v>68</x:v>
      </x:c>
      <x:c r="C114" s="2" t="s">
        <x:v>124</x:v>
      </x:c>
      <x:c r="D114" s="2" t="s">
        <x:v>112</x:v>
      </x:c>
      <x:c r="E114" s="2" t="s">
        <x:v>125</x:v>
      </x:c>
      <x:c r="F114" s="2" t="s">
        <x:v>120</x:v>
      </x:c>
      <x:c r="G114" s="2" t="s">
        <x:v>121</x:v>
      </x:c>
      <x:c r="H114" s="2"/>
      <x:c r="I114" s="2" t="s">
        <x:v>29</x:v>
      </x:c>
    </x:row>
    <x:row r="115" ht="37.95000076293945" customHeight="1">
      <x:c r="A115" s="2">
        <x:v>3</x:v>
      </x:c>
      <x:c r="B115" s="2" t="s">
        <x:v>68</x:v>
      </x:c>
      <x:c r="C115" s="2" t="s">
        <x:v>126</x:v>
      </x:c>
      <x:c r="D115" s="2" t="s">
        <x:v>112</x:v>
      </x:c>
      <x:c r="E115" s="2" t="s">
        <x:v>127</x:v>
      </x:c>
      <x:c r="F115" s="2" t="s">
        <x:v>114</x:v>
      </x:c>
      <x:c r="G115" s="2" t="s">
        <x:v>265</x:v>
      </x:c>
      <x:c r="H115" s="2"/>
      <x:c r="I115" s="2" t="s">
        <x:v>29</x:v>
      </x:c>
    </x:row>
    <x:row r="116" ht="37.95000076293945" customHeight="1">
      <x:c r="A116" s="2">
        <x:v>3</x:v>
      </x:c>
      <x:c r="B116" s="2" t="s">
        <x:v>68</x:v>
      </x:c>
      <x:c r="C116" s="2" t="s">
        <x:v>128</x:v>
      </x:c>
      <x:c r="D116" s="2" t="s">
        <x:v>129</x:v>
      </x:c>
      <x:c r="E116" s="2" t="s">
        <x:v>130</x:v>
      </x:c>
      <x:c r="F116" s="2" t="s">
        <x:v>120</x:v>
      </x:c>
      <x:c r="G116" s="2" t="s">
        <x:v>121</x:v>
      </x:c>
      <x:c r="H116" s="2"/>
      <x:c r="I116" s="2" t="s">
        <x:v>29</x:v>
      </x:c>
    </x:row>
    <x:row r="117" ht="37.95000076293945" customHeight="1">
      <x:c r="A117" s="2">
        <x:v>3</x:v>
      </x:c>
      <x:c r="B117" s="2" t="s">
        <x:v>68</x:v>
      </x:c>
      <x:c r="C117" s="2" t="s">
        <x:v>132</x:v>
      </x:c>
      <x:c r="D117" s="2" t="s">
        <x:v>129</x:v>
      </x:c>
      <x:c r="E117" s="2" t="s">
        <x:v>133</x:v>
      </x:c>
      <x:c r="F117" s="2" t="str">
        <x:v>ACCEPTABLE</x:v>
      </x:c>
      <x:c r="G117" s="2" t="str">
        <x:v>Pantone wording retained as a non-penalizing training safeguard. The ink contribution statement is acceptable and carries no penalty.</x:v>
      </x:c>
      <x:c r="H117" s="2" t="str">
        <x:v>FZ-B03-01 (safeguard only)</x:v>
      </x:c>
      <x:c r="I117" s="2" t="s">
        <x:v>29</x:v>
      </x:c>
    </x:row>
    <x:row r="118" ht="37.95000076293945" customHeight="1">
      <x:c r="A118" s="2">
        <x:v>3</x:v>
      </x:c>
      <x:c r="B118" s="2" t="s">
        <x:v>68</x:v>
      </x:c>
      <x:c r="C118" s="2" t="s">
        <x:v>135</x:v>
      </x:c>
      <x:c r="D118" s="2" t="s">
        <x:v>129</x:v>
      </x:c>
      <x:c r="E118" s="2" t="s">
        <x:v>136</x:v>
      </x:c>
      <x:c r="F118" s="2" t="str">
        <x:v>ACCEPTABLE</x:v>
      </x:c>
      <x:c r="G118" s="2" t="str">
        <x:v>Pantone wording retained as a non-penalizing training safeguard. The ink contribution statement is acceptable and carries no penalty.</x:v>
      </x:c>
      <x:c r="H118" s="2" t="str">
        <x:v>FZ-B03-01 (safeguard only)</x:v>
      </x:c>
      <x:c r="I118" s="2" t="s">
        <x:v>29</x:v>
      </x:c>
    </x:row>
    <x:row r="119" ht="37.95000076293945" customHeight="1">
      <x:c r="A119" s="2">
        <x:v>3</x:v>
      </x:c>
      <x:c r="B119" s="2" t="s">
        <x:v>68</x:v>
      </x:c>
      <x:c r="C119" s="2" t="s">
        <x:v>140</x:v>
      </x:c>
      <x:c r="D119" s="2" t="s">
        <x:v>129</x:v>
      </x:c>
      <x:c r="E119" s="2" t="s">
        <x:v>141</x:v>
      </x:c>
      <x:c r="F119" s="2" t="str">
        <x:v>ACCEPTABLE</x:v>
      </x:c>
      <x:c r="G119" s="2" t="str">
        <x:v>Pantone wording retained as a non-penalizing training safeguard. The ink contribution statement is acceptable and carries no penalty.</x:v>
      </x:c>
      <x:c r="H119" s="2" t="str">
        <x:v>FZ-B03-01 (safeguard only)</x:v>
      </x:c>
      <x:c r="I119" s="2" t="s">
        <x:v>29</x:v>
      </x:c>
    </x:row>
    <x:row r="120" ht="37.95000076293945" customHeight="1">
      <x:c r="A120" s="2">
        <x:v>3</x:v>
      </x:c>
      <x:c r="B120" s="2" t="s">
        <x:v>68</x:v>
      </x:c>
      <x:c r="C120" s="2" t="s">
        <x:v>142</x:v>
      </x:c>
      <x:c r="D120" s="2" t="s">
        <x:v>129</x:v>
      </x:c>
      <x:c r="E120" s="2" t="s">
        <x:v>143</x:v>
      </x:c>
      <x:c r="F120" s="2" t="s">
        <x:v>120</x:v>
      </x:c>
      <x:c r="G120" s="2" t="s">
        <x:v>121</x:v>
      </x:c>
      <x:c r="H120" s="2"/>
      <x:c r="I120" s="2" t="s">
        <x:v>29</x:v>
      </x:c>
    </x:row>
    <x:row r="121" ht="37.95000076293945" customHeight="1">
      <x:c r="A121" s="2">
        <x:v>3</x:v>
      </x:c>
      <x:c r="B121" s="2" t="s">
        <x:v>68</x:v>
      </x:c>
      <x:c r="C121" s="2" t="s">
        <x:v>144</x:v>
      </x:c>
      <x:c r="D121" s="2" t="s">
        <x:v>129</x:v>
      </x:c>
      <x:c r="E121" s="2" t="s">
        <x:v>145</x:v>
      </x:c>
      <x:c r="F121" s="2" t="s">
        <x:v>114</x:v>
      </x:c>
      <x:c r="G121" s="2" t="s">
        <x:v>266</x:v>
      </x:c>
      <x:c r="H121" s="2"/>
      <x:c r="I121" s="2" t="s">
        <x:v>29</x:v>
      </x:c>
    </x:row>
    <x:row r="122" ht="37.95000076293945" customHeight="1">
      <x:c r="A122" s="2">
        <x:v>3</x:v>
      </x:c>
      <x:c r="B122" s="2" t="s">
        <x:v>68</x:v>
      </x:c>
      <x:c r="C122" s="2" t="s">
        <x:v>147</x:v>
      </x:c>
      <x:c r="D122" s="2" t="s">
        <x:v>148</x:v>
      </x:c>
      <x:c r="E122" s="2" t="s">
        <x:v>149</x:v>
      </x:c>
      <x:c r="F122" s="2" t="s">
        <x:v>114</x:v>
      </x:c>
      <x:c r="G122" s="2" t="s">
        <x:v>267</x:v>
      </x:c>
      <x:c r="H122" s="2"/>
      <x:c r="I122" s="2" t="s">
        <x:v>29</x:v>
      </x:c>
    </x:row>
    <x:row r="123" ht="37.95000076293945" customHeight="1">
      <x:c r="A123" s="2">
        <x:v>3</x:v>
      </x:c>
      <x:c r="B123" s="2" t="s">
        <x:v>68</x:v>
      </x:c>
      <x:c r="C123" s="2" t="s">
        <x:v>151</x:v>
      </x:c>
      <x:c r="D123" s="2" t="s">
        <x:v>148</x:v>
      </x:c>
      <x:c r="E123" s="2" t="s">
        <x:v>152</x:v>
      </x:c>
      <x:c r="F123" s="2" t="s">
        <x:v>114</x:v>
      </x:c>
      <x:c r="G123" s="2" t="s">
        <x:v>267</x:v>
      </x:c>
      <x:c r="H123" s="2"/>
      <x:c r="I123" s="2" t="s">
        <x:v>29</x:v>
      </x:c>
    </x:row>
    <x:row r="124" ht="37.95000076293945" customHeight="1">
      <x:c r="A124" s="2">
        <x:v>3</x:v>
      </x:c>
      <x:c r="B124" s="2" t="s">
        <x:v>68</x:v>
      </x:c>
      <x:c r="C124" s="2" t="s">
        <x:v>153</x:v>
      </x:c>
      <x:c r="D124" s="2" t="s">
        <x:v>148</x:v>
      </x:c>
      <x:c r="E124" s="2" t="s">
        <x:v>154</x:v>
      </x:c>
      <x:c r="F124" s="2" t="s">
        <x:v>114</x:v>
      </x:c>
      <x:c r="G124" s="2" t="s">
        <x:v>267</x:v>
      </x:c>
      <x:c r="H124" s="2"/>
      <x:c r="I124" s="2" t="s">
        <x:v>29</x:v>
      </x:c>
    </x:row>
    <x:row r="125" ht="37.95000076293945" customHeight="1">
      <x:c r="A125" s="2">
        <x:v>3</x:v>
      </x:c>
      <x:c r="B125" s="2" t="s">
        <x:v>68</x:v>
      </x:c>
      <x:c r="C125" s="2" t="s">
        <x:v>155</x:v>
      </x:c>
      <x:c r="D125" s="2" t="s">
        <x:v>148</x:v>
      </x:c>
      <x:c r="E125" s="2" t="s">
        <x:v>156</x:v>
      </x:c>
      <x:c r="F125" s="2" t="s">
        <x:v>114</x:v>
      </x:c>
      <x:c r="G125" s="2" t="s">
        <x:v>267</x:v>
      </x:c>
      <x:c r="H125" s="2"/>
      <x:c r="I125" s="2" t="s">
        <x:v>29</x:v>
      </x:c>
    </x:row>
    <x:row r="126" ht="37.95000076293945" customHeight="1">
      <x:c r="A126" s="2">
        <x:v>3</x:v>
      </x:c>
      <x:c r="B126" s="2" t="s">
        <x:v>68</x:v>
      </x:c>
      <x:c r="C126" s="2" t="s">
        <x:v>157</x:v>
      </x:c>
      <x:c r="D126" s="2" t="s">
        <x:v>148</x:v>
      </x:c>
      <x:c r="E126" s="2" t="s">
        <x:v>158</x:v>
      </x:c>
      <x:c r="F126" s="2" t="s">
        <x:v>114</x:v>
      </x:c>
      <x:c r="G126" s="2" t="s">
        <x:v>267</x:v>
      </x:c>
      <x:c r="H126" s="2"/>
      <x:c r="I126" s="2" t="s">
        <x:v>29</x:v>
      </x:c>
    </x:row>
    <x:row r="127" ht="37.95000076293945" customHeight="1">
      <x:c r="A127" s="2">
        <x:v>3</x:v>
      </x:c>
      <x:c r="B127" s="2" t="s">
        <x:v>68</x:v>
      </x:c>
      <x:c r="C127" s="2" t="s">
        <x:v>159</x:v>
      </x:c>
      <x:c r="D127" s="2" t="s">
        <x:v>148</x:v>
      </x:c>
      <x:c r="E127" s="2" t="s">
        <x:v>160</x:v>
      </x:c>
      <x:c r="F127" s="2" t="s">
        <x:v>120</x:v>
      </x:c>
      <x:c r="G127" s="2" t="s">
        <x:v>121</x:v>
      </x:c>
      <x:c r="H127" s="2"/>
      <x:c r="I127" s="2" t="s">
        <x:v>29</x:v>
      </x:c>
    </x:row>
    <x:row r="128" ht="37.95000076293945" customHeight="1">
      <x:c r="A128" s="2">
        <x:v>3</x:v>
      </x:c>
      <x:c r="B128" s="2" t="s">
        <x:v>68</x:v>
      </x:c>
      <x:c r="C128" s="2" t="s">
        <x:v>161</x:v>
      </x:c>
      <x:c r="D128" s="2" t="s">
        <x:v>162</x:v>
      </x:c>
      <x:c r="E128" s="2" t="s">
        <x:v>163</x:v>
      </x:c>
      <x:c r="F128" s="2" t="s">
        <x:v>114</x:v>
      </x:c>
      <x:c r="G128" s="2" t="s">
        <x:v>268</x:v>
      </x:c>
      <x:c r="H128" s="2"/>
      <x:c r="I128" s="2" t="s">
        <x:v>29</x:v>
      </x:c>
    </x:row>
    <x:row r="129" ht="37.95000076293945" customHeight="1">
      <x:c r="A129" s="2">
        <x:v>3</x:v>
      </x:c>
      <x:c r="B129" s="2" t="s">
        <x:v>68</x:v>
      </x:c>
      <x:c r="C129" s="2" t="s">
        <x:v>165</x:v>
      </x:c>
      <x:c r="D129" s="2" t="s">
        <x:v>162</x:v>
      </x:c>
      <x:c r="E129" s="2" t="s">
        <x:v>166</x:v>
      </x:c>
      <x:c r="F129" s="2" t="s">
        <x:v>114</x:v>
      </x:c>
      <x:c r="G129" s="2" t="s">
        <x:v>268</x:v>
      </x:c>
      <x:c r="H129" s="2"/>
      <x:c r="I129" s="2" t="s">
        <x:v>29</x:v>
      </x:c>
    </x:row>
    <x:row r="130" ht="37.95000076293945" customHeight="1">
      <x:c r="A130" s="2">
        <x:v>3</x:v>
      </x:c>
      <x:c r="B130" s="2" t="s">
        <x:v>68</x:v>
      </x:c>
      <x:c r="C130" s="2" t="s">
        <x:v>167</x:v>
      </x:c>
      <x:c r="D130" s="2" t="s">
        <x:v>162</x:v>
      </x:c>
      <x:c r="E130" s="2" t="s">
        <x:v>168</x:v>
      </x:c>
      <x:c r="F130" s="2" t="s">
        <x:v>114</x:v>
      </x:c>
      <x:c r="G130" s="2" t="s">
        <x:v>268</x:v>
      </x:c>
      <x:c r="H130" s="2"/>
      <x:c r="I130" s="2" t="s">
        <x:v>29</x:v>
      </x:c>
    </x:row>
    <x:row r="131" ht="37.95000076293945" customHeight="1">
      <x:c r="A131" s="2">
        <x:v>3</x:v>
      </x:c>
      <x:c r="B131" s="2" t="s">
        <x:v>68</x:v>
      </x:c>
      <x:c r="C131" s="2" t="s">
        <x:v>169</x:v>
      </x:c>
      <x:c r="D131" s="2" t="s">
        <x:v>162</x:v>
      </x:c>
      <x:c r="E131" s="2" t="s">
        <x:v>170</x:v>
      </x:c>
      <x:c r="F131" s="2" t="s">
        <x:v>120</x:v>
      </x:c>
      <x:c r="G131" s="2" t="s">
        <x:v>121</x:v>
      </x:c>
      <x:c r="H131" s="2"/>
      <x:c r="I131" s="2" t="s">
        <x:v>29</x:v>
      </x:c>
    </x:row>
    <x:row r="132" ht="37.95000076293945" customHeight="1">
      <x:c r="A132" s="2">
        <x:v>3</x:v>
      </x:c>
      <x:c r="B132" s="2" t="s">
        <x:v>68</x:v>
      </x:c>
      <x:c r="C132" s="2" t="s">
        <x:v>171</x:v>
      </x:c>
      <x:c r="D132" s="2" t="s">
        <x:v>162</x:v>
      </x:c>
      <x:c r="E132" s="2" t="s">
        <x:v>172</x:v>
      </x:c>
      <x:c r="F132" s="2" t="s">
        <x:v>120</x:v>
      </x:c>
      <x:c r="G132" s="2" t="s">
        <x:v>121</x:v>
      </x:c>
      <x:c r="H132" s="2"/>
      <x:c r="I132" s="2" t="s">
        <x:v>29</x:v>
      </x:c>
    </x:row>
    <x:row r="133" ht="37.95000076293945" customHeight="1">
      <x:c r="A133" s="2">
        <x:v>3</x:v>
      </x:c>
      <x:c r="B133" s="2" t="s">
        <x:v>68</x:v>
      </x:c>
      <x:c r="C133" s="2" t="s">
        <x:v>175</x:v>
      </x:c>
      <x:c r="D133" s="2" t="s">
        <x:v>162</x:v>
      </x:c>
      <x:c r="E133" s="2" t="s">
        <x:v>176</x:v>
      </x:c>
      <x:c r="F133" s="2" t="s">
        <x:v>120</x:v>
      </x:c>
      <x:c r="G133" s="2" t="s">
        <x:v>121</x:v>
      </x:c>
      <x:c r="H133" s="2"/>
      <x:c r="I133" s="2" t="s">
        <x:v>29</x:v>
      </x:c>
    </x:row>
    <x:row r="134" ht="37.95000076293945" customHeight="1">
      <x:c r="A134" s="2">
        <x:v>3</x:v>
      </x:c>
      <x:c r="B134" s="2" t="s">
        <x:v>68</x:v>
      </x:c>
      <x:c r="C134" s="2" t="s">
        <x:v>177</x:v>
      </x:c>
      <x:c r="D134" s="2" t="s">
        <x:v>178</x:v>
      </x:c>
      <x:c r="E134" s="2" t="s">
        <x:v>179</x:v>
      </x:c>
      <x:c r="F134" s="2" t="s">
        <x:v>120</x:v>
      </x:c>
      <x:c r="G134" s="2" t="s">
        <x:v>121</x:v>
      </x:c>
      <x:c r="H134" s="2"/>
      <x:c r="I134" s="2" t="s">
        <x:v>29</x:v>
      </x:c>
    </x:row>
    <x:row r="135" ht="37.95000076293945" customHeight="1">
      <x:c r="A135" s="2">
        <x:v>3</x:v>
      </x:c>
      <x:c r="B135" s="2" t="s">
        <x:v>68</x:v>
      </x:c>
      <x:c r="C135" s="2" t="s">
        <x:v>180</x:v>
      </x:c>
      <x:c r="D135" s="2" t="s">
        <x:v>178</x:v>
      </x:c>
      <x:c r="E135" s="2" t="s">
        <x:v>181</x:v>
      </x:c>
      <x:c r="F135" s="2" t="s">
        <x:v>114</x:v>
      </x:c>
      <x:c r="G135" s="2" t="s">
        <x:v>269</x:v>
      </x:c>
      <x:c r="H135" s="2"/>
      <x:c r="I135" s="2" t="s">
        <x:v>29</x:v>
      </x:c>
    </x:row>
    <x:row r="136" ht="37.95000076293945" customHeight="1">
      <x:c r="A136" s="2">
        <x:v>3</x:v>
      </x:c>
      <x:c r="B136" s="2" t="s">
        <x:v>68</x:v>
      </x:c>
      <x:c r="C136" s="2" t="s">
        <x:v>183</x:v>
      </x:c>
      <x:c r="D136" s="2" t="s">
        <x:v>178</x:v>
      </x:c>
      <x:c r="E136" s="2" t="s">
        <x:v>184</x:v>
      </x:c>
      <x:c r="F136" s="2" t="s">
        <x:v>114</x:v>
      </x:c>
      <x:c r="G136" s="2" t="s">
        <x:v>269</x:v>
      </x:c>
      <x:c r="H136" s="2"/>
      <x:c r="I136" s="2" t="s">
        <x:v>29</x:v>
      </x:c>
    </x:row>
    <x:row r="137" ht="37.95000076293945" customHeight="1">
      <x:c r="A137" s="2">
        <x:v>3</x:v>
      </x:c>
      <x:c r="B137" s="2" t="s">
        <x:v>68</x:v>
      </x:c>
      <x:c r="C137" s="2" t="s">
        <x:v>185</x:v>
      </x:c>
      <x:c r="D137" s="2" t="s">
        <x:v>178</x:v>
      </x:c>
      <x:c r="E137" s="2" t="s">
        <x:v>186</x:v>
      </x:c>
      <x:c r="F137" s="2" t="s">
        <x:v>120</x:v>
      </x:c>
      <x:c r="G137" s="2" t="s">
        <x:v>121</x:v>
      </x:c>
      <x:c r="H137" s="2"/>
      <x:c r="I137" s="2" t="s">
        <x:v>29</x:v>
      </x:c>
    </x:row>
    <x:row r="138" ht="37.95000076293945" customHeight="1">
      <x:c r="A138" s="2">
        <x:v>3</x:v>
      </x:c>
      <x:c r="B138" s="2" t="s">
        <x:v>68</x:v>
      </x:c>
      <x:c r="C138" s="2" t="s">
        <x:v>187</x:v>
      </x:c>
      <x:c r="D138" s="2" t="s">
        <x:v>178</x:v>
      </x:c>
      <x:c r="E138" s="2" t="s">
        <x:v>188</x:v>
      </x:c>
      <x:c r="F138" s="2" t="s">
        <x:v>114</x:v>
      </x:c>
      <x:c r="G138" s="2" t="s">
        <x:v>269</x:v>
      </x:c>
      <x:c r="H138" s="2"/>
      <x:c r="I138" s="2" t="s">
        <x:v>29</x:v>
      </x:c>
    </x:row>
    <x:row r="139" ht="37.95000076293945" customHeight="1">
      <x:c r="A139" s="2">
        <x:v>3</x:v>
      </x:c>
      <x:c r="B139" s="2" t="s">
        <x:v>68</x:v>
      </x:c>
      <x:c r="C139" s="2" t="s">
        <x:v>189</x:v>
      </x:c>
      <x:c r="D139" s="2" t="s">
        <x:v>178</x:v>
      </x:c>
      <x:c r="E139" s="2" t="s">
        <x:v>190</x:v>
      </x:c>
      <x:c r="F139" s="2" t="s">
        <x:v>120</x:v>
      </x:c>
      <x:c r="G139" s="2" t="s">
        <x:v>121</x:v>
      </x:c>
      <x:c r="H139" s="2"/>
      <x:c r="I139" s="2" t="s">
        <x:v>29</x:v>
      </x:c>
    </x:row>
    <x:row r="140" ht="37.95000076293945" customHeight="1">
      <x:c r="A140" s="2">
        <x:v>3</x:v>
      </x:c>
      <x:c r="B140" s="2" t="s">
        <x:v>68</x:v>
      </x:c>
      <x:c r="C140" s="2" t="s">
        <x:v>191</x:v>
      </x:c>
      <x:c r="D140" s="2" t="s">
        <x:v>192</x:v>
      </x:c>
      <x:c r="E140" s="2" t="s">
        <x:v>193</x:v>
      </x:c>
      <x:c r="F140" s="2" t="s">
        <x:v>114</x:v>
      </x:c>
      <x:c r="G140" s="2" t="s">
        <x:v>270</x:v>
      </x:c>
      <x:c r="H140" s="2"/>
      <x:c r="I140" s="2" t="s">
        <x:v>29</x:v>
      </x:c>
    </x:row>
    <x:row r="141" ht="37.95000076293945" customHeight="1">
      <x:c r="A141" s="2">
        <x:v>3</x:v>
      </x:c>
      <x:c r="B141" s="2" t="s">
        <x:v>68</x:v>
      </x:c>
      <x:c r="C141" s="2" t="s">
        <x:v>195</x:v>
      </x:c>
      <x:c r="D141" s="2" t="s">
        <x:v>192</x:v>
      </x:c>
      <x:c r="E141" s="2" t="s">
        <x:v>196</x:v>
      </x:c>
      <x:c r="F141" s="2" t="s">
        <x:v>114</x:v>
      </x:c>
      <x:c r="G141" s="2" t="s">
        <x:v>270</x:v>
      </x:c>
      <x:c r="H141" s="2"/>
      <x:c r="I141" s="2" t="s">
        <x:v>29</x:v>
      </x:c>
    </x:row>
    <x:row r="142" ht="37.95000076293945" customHeight="1">
      <x:c r="A142" s="2">
        <x:v>3</x:v>
      </x:c>
      <x:c r="B142" s="2" t="s">
        <x:v>68</x:v>
      </x:c>
      <x:c r="C142" s="2" t="s">
        <x:v>197</x:v>
      </x:c>
      <x:c r="D142" s="2" t="s">
        <x:v>192</x:v>
      </x:c>
      <x:c r="E142" s="2" t="s">
        <x:v>198</x:v>
      </x:c>
      <x:c r="F142" s="2" t="s">
        <x:v>114</x:v>
      </x:c>
      <x:c r="G142" s="2" t="s">
        <x:v>270</x:v>
      </x:c>
      <x:c r="H142" s="2"/>
      <x:c r="I142" s="2" t="s">
        <x:v>29</x:v>
      </x:c>
    </x:row>
    <x:row r="143" ht="37.95000076293945" customHeight="1">
      <x:c r="A143" s="2">
        <x:v>3</x:v>
      </x:c>
      <x:c r="B143" s="2" t="s">
        <x:v>68</x:v>
      </x:c>
      <x:c r="C143" s="2" t="s">
        <x:v>199</x:v>
      </x:c>
      <x:c r="D143" s="2" t="s">
        <x:v>192</x:v>
      </x:c>
      <x:c r="E143" s="2" t="s">
        <x:v>200</x:v>
      </x:c>
      <x:c r="F143" s="2" t="s">
        <x:v>114</x:v>
      </x:c>
      <x:c r="G143" s="2" t="s">
        <x:v>270</x:v>
      </x:c>
      <x:c r="H143" s="2"/>
      <x:c r="I143" s="2" t="s">
        <x:v>29</x:v>
      </x:c>
    </x:row>
    <x:row r="144" ht="37.95000076293945" customHeight="1">
      <x:c r="A144" s="2">
        <x:v>3</x:v>
      </x:c>
      <x:c r="B144" s="2" t="s">
        <x:v>68</x:v>
      </x:c>
      <x:c r="C144" s="2" t="s">
        <x:v>201</x:v>
      </x:c>
      <x:c r="D144" s="2" t="s">
        <x:v>192</x:v>
      </x:c>
      <x:c r="E144" s="2" t="s">
        <x:v>202</x:v>
      </x:c>
      <x:c r="F144" s="2" t="s">
        <x:v>114</x:v>
      </x:c>
      <x:c r="G144" s="2" t="s">
        <x:v>270</x:v>
      </x:c>
      <x:c r="H144" s="2"/>
      <x:c r="I144" s="2" t="s">
        <x:v>29</x:v>
      </x:c>
    </x:row>
    <x:row r="145" ht="37.95000076293945" customHeight="1">
      <x:c r="A145" s="2">
        <x:v>3</x:v>
      </x:c>
      <x:c r="B145" s="2" t="s">
        <x:v>68</x:v>
      </x:c>
      <x:c r="C145" s="2" t="s">
        <x:v>203</x:v>
      </x:c>
      <x:c r="D145" s="2" t="s">
        <x:v>204</x:v>
      </x:c>
      <x:c r="E145" s="2" t="s">
        <x:v>205</x:v>
      </x:c>
      <x:c r="F145" s="2" t="s">
        <x:v>114</x:v>
      </x:c>
      <x:c r="G145" s="2" t="s">
        <x:v>271</x:v>
      </x:c>
      <x:c r="H145" s="2"/>
      <x:c r="I145" s="2" t="s">
        <x:v>29</x:v>
      </x:c>
    </x:row>
    <x:row r="146" ht="37.95000076293945" customHeight="1">
      <x:c r="A146" s="2">
        <x:v>3</x:v>
      </x:c>
      <x:c r="B146" s="2" t="s">
        <x:v>68</x:v>
      </x:c>
      <x:c r="C146" s="2" t="s">
        <x:v>206</x:v>
      </x:c>
      <x:c r="D146" s="2" t="s">
        <x:v>204</x:v>
      </x:c>
      <x:c r="E146" s="2" t="s">
        <x:v>207</x:v>
      </x:c>
      <x:c r="F146" s="2" t="s">
        <x:v>120</x:v>
      </x:c>
      <x:c r="G146" s="2" t="s">
        <x:v>121</x:v>
      </x:c>
      <x:c r="H146" s="2"/>
      <x:c r="I146" s="2" t="s">
        <x:v>29</x:v>
      </x:c>
    </x:row>
    <x:row r="147" ht="37.95000076293945" customHeight="1">
      <x:c r="A147" s="2">
        <x:v>3</x:v>
      </x:c>
      <x:c r="B147" s="2" t="s">
        <x:v>68</x:v>
      </x:c>
      <x:c r="C147" s="2" t="s">
        <x:v>208</x:v>
      </x:c>
      <x:c r="D147" s="2" t="s">
        <x:v>204</x:v>
      </x:c>
      <x:c r="E147" s="2" t="s">
        <x:v>209</x:v>
      </x:c>
      <x:c r="F147" s="2" t="s">
        <x:v>120</x:v>
      </x:c>
      <x:c r="G147" s="2" t="s">
        <x:v>121</x:v>
      </x:c>
      <x:c r="H147" s="2"/>
      <x:c r="I147" s="2" t="s">
        <x:v>29</x:v>
      </x:c>
    </x:row>
    <x:row r="148" ht="37.95000076293945" customHeight="1">
      <x:c r="A148" s="2">
        <x:v>3</x:v>
      </x:c>
      <x:c r="B148" s="2" t="s">
        <x:v>68</x:v>
      </x:c>
      <x:c r="C148" s="2" t="s">
        <x:v>212</x:v>
      </x:c>
      <x:c r="D148" s="2" t="s">
        <x:v>204</x:v>
      </x:c>
      <x:c r="E148" s="2" t="s">
        <x:v>213</x:v>
      </x:c>
      <x:c r="F148" s="2" t="s">
        <x:v>120</x:v>
      </x:c>
      <x:c r="G148" s="2" t="s">
        <x:v>121</x:v>
      </x:c>
      <x:c r="H148" s="2"/>
      <x:c r="I148" s="2" t="s">
        <x:v>29</x:v>
      </x:c>
    </x:row>
    <x:row r="149" ht="37.95000076293945" customHeight="1">
      <x:c r="A149" s="2">
        <x:v>3</x:v>
      </x:c>
      <x:c r="B149" s="2" t="s">
        <x:v>68</x:v>
      </x:c>
      <x:c r="C149" s="2" t="s">
        <x:v>214</x:v>
      </x:c>
      <x:c r="D149" s="2" t="s">
        <x:v>204</x:v>
      </x:c>
      <x:c r="E149" s="2" t="s">
        <x:v>215</x:v>
      </x:c>
      <x:c r="F149" s="2" t="s">
        <x:v>114</x:v>
      </x:c>
      <x:c r="G149" s="2" t="s">
        <x:v>271</x:v>
      </x:c>
      <x:c r="H149" s="2"/>
      <x:c r="I149" s="2" t="s">
        <x:v>29</x:v>
      </x:c>
    </x:row>
    <x:row r="150" ht="37.95000076293945" customHeight="1">
      <x:c r="A150" s="2">
        <x:v>3</x:v>
      </x:c>
      <x:c r="B150" s="2" t="s">
        <x:v>68</x:v>
      </x:c>
      <x:c r="C150" s="2" t="s">
        <x:v>217</x:v>
      </x:c>
      <x:c r="D150" s="2" t="s">
        <x:v>204</x:v>
      </x:c>
      <x:c r="E150" s="2" t="s">
        <x:v>218</x:v>
      </x:c>
      <x:c r="F150" s="2" t="s">
        <x:v>114</x:v>
      </x:c>
      <x:c r="G150" s="2" t="s">
        <x:v>271</x:v>
      </x:c>
      <x:c r="H150" s="2"/>
      <x:c r="I150" s="2" t="s">
        <x:v>29</x:v>
      </x:c>
    </x:row>
    <x:row r="151" ht="37.95000076293945" customHeight="1">
      <x:c r="A151" s="2">
        <x:v>3</x:v>
      </x:c>
      <x:c r="B151" s="2" t="s">
        <x:v>68</x:v>
      </x:c>
      <x:c r="C151" s="2" t="s">
        <x:v>219</x:v>
      </x:c>
      <x:c r="D151" s="2" t="s">
        <x:v>220</x:v>
      </x:c>
      <x:c r="E151" s="2" t="s">
        <x:v>221</x:v>
      </x:c>
      <x:c r="F151" s="2" t="s">
        <x:v>114</x:v>
      </x:c>
      <x:c r="G151" s="2" t="s">
        <x:v>272</x:v>
      </x:c>
      <x:c r="H151" s="2"/>
      <x:c r="I151" s="2" t="s">
        <x:v>29</x:v>
      </x:c>
    </x:row>
    <x:row r="152" ht="37.95000076293945" customHeight="1">
      <x:c r="A152" s="2">
        <x:v>3</x:v>
      </x:c>
      <x:c r="B152" s="2" t="s">
        <x:v>68</x:v>
      </x:c>
      <x:c r="C152" s="2" t="s">
        <x:v>223</x:v>
      </x:c>
      <x:c r="D152" s="2" t="s">
        <x:v>220</x:v>
      </x:c>
      <x:c r="E152" s="2" t="s">
        <x:v>224</x:v>
      </x:c>
      <x:c r="F152" s="2" t="s">
        <x:v>114</x:v>
      </x:c>
      <x:c r="G152" s="2" t="s">
        <x:v>272</x:v>
      </x:c>
      <x:c r="H152" s="2"/>
      <x:c r="I152" s="2" t="s">
        <x:v>29</x:v>
      </x:c>
    </x:row>
    <x:row r="153" ht="37.95000076293945" customHeight="1">
      <x:c r="A153" s="2">
        <x:v>3</x:v>
      </x:c>
      <x:c r="B153" s="2" t="s">
        <x:v>68</x:v>
      </x:c>
      <x:c r="C153" s="2" t="s">
        <x:v>225</x:v>
      </x:c>
      <x:c r="D153" s="2" t="s">
        <x:v>220</x:v>
      </x:c>
      <x:c r="E153" s="2" t="s">
        <x:v>226</x:v>
      </x:c>
      <x:c r="F153" s="2" t="s">
        <x:v>114</x:v>
      </x:c>
      <x:c r="G153" s="2" t="s">
        <x:v>272</x:v>
      </x:c>
      <x:c r="H153" s="2"/>
      <x:c r="I153" s="2" t="s">
        <x:v>29</x:v>
      </x:c>
    </x:row>
    <x:row r="154" ht="37.95000076293945" customHeight="1">
      <x:c r="A154" s="2">
        <x:v>3</x:v>
      </x:c>
      <x:c r="B154" s="2" t="s">
        <x:v>68</x:v>
      </x:c>
      <x:c r="C154" s="2" t="s">
        <x:v>227</x:v>
      </x:c>
      <x:c r="D154" s="2" t="s">
        <x:v>220</x:v>
      </x:c>
      <x:c r="E154" s="2" t="s">
        <x:v>228</x:v>
      </x:c>
      <x:c r="F154" s="2" t="s">
        <x:v>229</x:v>
      </x:c>
      <x:c r="G154" s="2" t="s">
        <x:v>230</x:v>
      </x:c>
      <x:c r="H154" s="2"/>
      <x:c r="I154" s="2" t="s">
        <x:v>29</x:v>
      </x:c>
    </x:row>
    <x:row r="155" ht="37.95000076293945" customHeight="1">
      <x:c r="A155" s="2">
        <x:v>3</x:v>
      </x:c>
      <x:c r="B155" s="2" t="s">
        <x:v>68</x:v>
      </x:c>
      <x:c r="C155" s="2" t="s">
        <x:v>231</x:v>
      </x:c>
      <x:c r="D155" s="2" t="s">
        <x:v>220</x:v>
      </x:c>
      <x:c r="E155" s="2" t="s">
        <x:v>232</x:v>
      </x:c>
      <x:c r="F155" s="2" t="s">
        <x:v>114</x:v>
      </x:c>
      <x:c r="G155" s="2" t="s">
        <x:v>272</x:v>
      </x:c>
      <x:c r="H155" s="2"/>
      <x:c r="I155" s="2" t="s">
        <x:v>29</x:v>
      </x:c>
    </x:row>
    <x:row r="156" ht="37.95000076293945" customHeight="1">
      <x:c r="A156" s="2">
        <x:v>3</x:v>
      </x:c>
      <x:c r="B156" s="2" t="s">
        <x:v>68</x:v>
      </x:c>
      <x:c r="C156" s="2" t="s">
        <x:v>233</x:v>
      </x:c>
      <x:c r="D156" s="2" t="s">
        <x:v>234</x:v>
      </x:c>
      <x:c r="E156" s="2" t="s">
        <x:v>235</x:v>
      </x:c>
      <x:c r="F156" s="2" t="s">
        <x:v>120</x:v>
      </x:c>
      <x:c r="G156" s="2" t="s">
        <x:v>121</x:v>
      </x:c>
      <x:c r="H156" s="2"/>
      <x:c r="I156" s="2" t="s">
        <x:v>29</x:v>
      </x:c>
    </x:row>
    <x:row r="157" ht="37.95000076293945" customHeight="1">
      <x:c r="A157" s="2">
        <x:v>3</x:v>
      </x:c>
      <x:c r="B157" s="2" t="s">
        <x:v>68</x:v>
      </x:c>
      <x:c r="C157" s="2" t="s">
        <x:v>236</x:v>
      </x:c>
      <x:c r="D157" s="2" t="s">
        <x:v>234</x:v>
      </x:c>
      <x:c r="E157" s="2" t="s">
        <x:v>237</x:v>
      </x:c>
      <x:c r="F157" s="2" t="s">
        <x:v>114</x:v>
      </x:c>
      <x:c r="G157" s="2" t="s">
        <x:v>273</x:v>
      </x:c>
      <x:c r="H157" s="2"/>
      <x:c r="I157" s="2" t="s">
        <x:v>29</x:v>
      </x:c>
    </x:row>
    <x:row r="158" ht="37.95000076293945" customHeight="1">
      <x:c r="A158" s="2">
        <x:v>3</x:v>
      </x:c>
      <x:c r="B158" s="2" t="s">
        <x:v>68</x:v>
      </x:c>
      <x:c r="C158" s="2" t="s">
        <x:v>239</x:v>
      </x:c>
      <x:c r="D158" s="2" t="s">
        <x:v>234</x:v>
      </x:c>
      <x:c r="E158" s="2" t="s">
        <x:v>240</x:v>
      </x:c>
      <x:c r="F158" s="2" t="s">
        <x:v>120</x:v>
      </x:c>
      <x:c r="G158" s="2" t="s">
        <x:v>121</x:v>
      </x:c>
      <x:c r="H158" s="2"/>
      <x:c r="I158" s="2" t="s">
        <x:v>29</x:v>
      </x:c>
    </x:row>
    <x:row r="159" ht="37.95000076293945" customHeight="1">
      <x:c r="A159" s="2">
        <x:v>3</x:v>
      </x:c>
      <x:c r="B159" s="2" t="s">
        <x:v>68</x:v>
      </x:c>
      <x:c r="C159" s="2" t="s">
        <x:v>241</x:v>
      </x:c>
      <x:c r="D159" s="2" t="s">
        <x:v>234</x:v>
      </x:c>
      <x:c r="E159" s="2" t="s">
        <x:v>242</x:v>
      </x:c>
      <x:c r="F159" s="2" t="s">
        <x:v>120</x:v>
      </x:c>
      <x:c r="G159" s="2" t="s">
        <x:v>121</x:v>
      </x:c>
      <x:c r="H159" s="2"/>
      <x:c r="I159" s="2" t="s">
        <x:v>29</x:v>
      </x:c>
    </x:row>
    <x:row r="160" ht="37.95000076293945" customHeight="1">
      <x:c r="A160" s="2">
        <x:v>3</x:v>
      </x:c>
      <x:c r="B160" s="2" t="s">
        <x:v>68</x:v>
      </x:c>
      <x:c r="C160" s="2" t="s">
        <x:v>243</x:v>
      </x:c>
      <x:c r="D160" s="2" t="s">
        <x:v>234</x:v>
      </x:c>
      <x:c r="E160" s="2" t="s">
        <x:v>244</x:v>
      </x:c>
      <x:c r="F160" s="2" t="s">
        <x:v>120</x:v>
      </x:c>
      <x:c r="G160" s="2" t="s">
        <x:v>121</x:v>
      </x:c>
      <x:c r="H160" s="2"/>
      <x:c r="I160" s="2" t="s">
        <x:v>29</x:v>
      </x:c>
    </x:row>
    <x:row r="161" ht="37.95000076293945" customHeight="1">
      <x:c r="A161" s="2">
        <x:v>3</x:v>
      </x:c>
      <x:c r="B161" s="2" t="s">
        <x:v>68</x:v>
      </x:c>
      <x:c r="C161" s="2" t="s">
        <x:v>245</x:v>
      </x:c>
      <x:c r="D161" s="2" t="s">
        <x:v>234</x:v>
      </x:c>
      <x:c r="E161" s="2" t="s">
        <x:v>246</x:v>
      </x:c>
      <x:c r="F161" s="2" t="s">
        <x:v>120</x:v>
      </x:c>
      <x:c r="G161" s="2" t="s">
        <x:v>121</x:v>
      </x:c>
      <x:c r="H161" s="2"/>
      <x:c r="I161" s="2" t="s">
        <x:v>29</x:v>
      </x:c>
    </x:row>
    <x:row r="162" ht="37.95000076293945" customHeight="1">
      <x:c r="A162" s="2">
        <x:v>4</x:v>
      </x:c>
      <x:c r="B162" s="2" t="s">
        <x:v>75</x:v>
      </x:c>
      <x:c r="C162" s="2" t="s">
        <x:v>111</x:v>
      </x:c>
      <x:c r="D162" s="2" t="s">
        <x:v>112</x:v>
      </x:c>
      <x:c r="E162" s="2" t="s">
        <x:v>113</x:v>
      </x:c>
      <x:c r="F162" s="2" t="s">
        <x:v>114</x:v>
      </x:c>
      <x:c r="G162" s="2" t="s">
        <x:v>274</x:v>
      </x:c>
      <x:c r="H162" s="2"/>
      <x:c r="I162" s="2" t="s">
        <x:v>30</x:v>
      </x:c>
    </x:row>
    <x:row r="163" ht="37.95000076293945" customHeight="1">
      <x:c r="A163" s="2">
        <x:v>4</x:v>
      </x:c>
      <x:c r="B163" s="2" t="s">
        <x:v>75</x:v>
      </x:c>
      <x:c r="C163" s="2" t="s">
        <x:v>116</x:v>
      </x:c>
      <x:c r="D163" s="2" t="s">
        <x:v>112</x:v>
      </x:c>
      <x:c r="E163" s="2" t="s">
        <x:v>117</x:v>
      </x:c>
      <x:c r="F163" s="2" t="s">
        <x:v>114</x:v>
      </x:c>
      <x:c r="G163" s="2" t="s">
        <x:v>274</x:v>
      </x:c>
      <x:c r="H163" s="2"/>
      <x:c r="I163" s="2" t="s">
        <x:v>30</x:v>
      </x:c>
    </x:row>
    <x:row r="164" ht="37.95000076293945" customHeight="1">
      <x:c r="A164" s="2">
        <x:v>4</x:v>
      </x:c>
      <x:c r="B164" s="2" t="s">
        <x:v>75</x:v>
      </x:c>
      <x:c r="C164" s="2" t="s">
        <x:v>118</x:v>
      </x:c>
      <x:c r="D164" s="2" t="s">
        <x:v>112</x:v>
      </x:c>
      <x:c r="E164" s="2" t="s">
        <x:v>119</x:v>
      </x:c>
      <x:c r="F164" s="2" t="s">
        <x:v>120</x:v>
      </x:c>
      <x:c r="G164" s="2" t="s">
        <x:v>121</x:v>
      </x:c>
      <x:c r="H164" s="2"/>
      <x:c r="I164" s="2" t="s">
        <x:v>30</x:v>
      </x:c>
    </x:row>
    <x:row r="165" ht="37.95000076293945" customHeight="1">
      <x:c r="A165" s="2">
        <x:v>4</x:v>
      </x:c>
      <x:c r="B165" s="2" t="s">
        <x:v>75</x:v>
      </x:c>
      <x:c r="C165" s="2" t="s">
        <x:v>122</x:v>
      </x:c>
      <x:c r="D165" s="2" t="s">
        <x:v>112</x:v>
      </x:c>
      <x:c r="E165" s="2" t="s">
        <x:v>123</x:v>
      </x:c>
      <x:c r="F165" s="2" t="s">
        <x:v>114</x:v>
      </x:c>
      <x:c r="G165" s="2" t="s">
        <x:v>274</x:v>
      </x:c>
      <x:c r="H165" s="2"/>
      <x:c r="I165" s="2" t="s">
        <x:v>30</x:v>
      </x:c>
    </x:row>
    <x:row r="166" ht="37.95000076293945" customHeight="1">
      <x:c r="A166" s="2">
        <x:v>4</x:v>
      </x:c>
      <x:c r="B166" s="2" t="s">
        <x:v>75</x:v>
      </x:c>
      <x:c r="C166" s="2" t="s">
        <x:v>124</x:v>
      </x:c>
      <x:c r="D166" s="2" t="s">
        <x:v>112</x:v>
      </x:c>
      <x:c r="E166" s="2" t="s">
        <x:v>125</x:v>
      </x:c>
      <x:c r="F166" s="2" t="s">
        <x:v>120</x:v>
      </x:c>
      <x:c r="G166" s="2" t="s">
        <x:v>121</x:v>
      </x:c>
      <x:c r="H166" s="2"/>
      <x:c r="I166" s="2" t="s">
        <x:v>30</x:v>
      </x:c>
    </x:row>
    <x:row r="167" ht="37.95000076293945" customHeight="1">
      <x:c r="A167" s="2">
        <x:v>4</x:v>
      </x:c>
      <x:c r="B167" s="2" t="s">
        <x:v>75</x:v>
      </x:c>
      <x:c r="C167" s="2" t="s">
        <x:v>126</x:v>
      </x:c>
      <x:c r="D167" s="2" t="s">
        <x:v>112</x:v>
      </x:c>
      <x:c r="E167" s="2" t="s">
        <x:v>127</x:v>
      </x:c>
      <x:c r="F167" s="2" t="s">
        <x:v>114</x:v>
      </x:c>
      <x:c r="G167" s="2" t="s">
        <x:v>274</x:v>
      </x:c>
      <x:c r="H167" s="2"/>
      <x:c r="I167" s="2" t="s">
        <x:v>30</x:v>
      </x:c>
    </x:row>
    <x:row r="168" ht="37.95000076293945" customHeight="1">
      <x:c r="A168" s="2">
        <x:v>4</x:v>
      </x:c>
      <x:c r="B168" s="2" t="s">
        <x:v>75</x:v>
      </x:c>
      <x:c r="C168" s="2" t="s">
        <x:v>128</x:v>
      </x:c>
      <x:c r="D168" s="2" t="s">
        <x:v>129</x:v>
      </x:c>
      <x:c r="E168" s="2" t="s">
        <x:v>130</x:v>
      </x:c>
      <x:c r="F168" s="2" t="str">
        <x:v>ACCEPTABLE</x:v>
      </x:c>
      <x:c r="G168" s="2" t="str">
        <x:v>Folded-card pocket finding removed in the manager-edited file. No penalty; do not reintroduce.</x:v>
      </x:c>
      <x:c r="H168" s="2"/>
      <x:c r="I168" s="2" t="s">
        <x:v>30</x:v>
      </x:c>
    </x:row>
    <x:row r="169" ht="37.95000076293945" customHeight="1">
      <x:c r="A169" s="2">
        <x:v>4</x:v>
      </x:c>
      <x:c r="B169" s="2" t="s">
        <x:v>75</x:v>
      </x:c>
      <x:c r="C169" s="2" t="s">
        <x:v>132</x:v>
      </x:c>
      <x:c r="D169" s="2" t="s">
        <x:v>129</x:v>
      </x:c>
      <x:c r="E169" s="2" t="s">
        <x:v>133</x:v>
      </x:c>
      <x:c r="F169" s="2" t="s">
        <x:v>114</x:v>
      </x:c>
      <x:c r="G169" s="2" t="s">
        <x:v>275</x:v>
      </x:c>
      <x:c r="H169" s="2"/>
      <x:c r="I169" s="2" t="s">
        <x:v>30</x:v>
      </x:c>
    </x:row>
    <x:row r="170" ht="37.95000076293945" customHeight="1">
      <x:c r="A170" s="2">
        <x:v>4</x:v>
      </x:c>
      <x:c r="B170" s="2" t="s">
        <x:v>75</x:v>
      </x:c>
      <x:c r="C170" s="2" t="s">
        <x:v>135</x:v>
      </x:c>
      <x:c r="D170" s="2" t="s">
        <x:v>129</x:v>
      </x:c>
      <x:c r="E170" s="2" t="s">
        <x:v>136</x:v>
      </x:c>
      <x:c r="F170" s="2" t="s">
        <x:v>120</x:v>
      </x:c>
      <x:c r="G170" s="2" t="s">
        <x:v>121</x:v>
      </x:c>
      <x:c r="H170" s="2"/>
      <x:c r="I170" s="2" t="s">
        <x:v>30</x:v>
      </x:c>
    </x:row>
    <x:row r="171" ht="37.95000076293945" customHeight="1">
      <x:c r="A171" s="2">
        <x:v>4</x:v>
      </x:c>
      <x:c r="B171" s="2" t="s">
        <x:v>75</x:v>
      </x:c>
      <x:c r="C171" s="2" t="s">
        <x:v>140</x:v>
      </x:c>
      <x:c r="D171" s="2" t="s">
        <x:v>129</x:v>
      </x:c>
      <x:c r="E171" s="2" t="s">
        <x:v>141</x:v>
      </x:c>
      <x:c r="F171" s="2" t="str">
        <x:v>ACCEPTABLE</x:v>
      </x:c>
      <x:c r="G171" s="2" t="str">
        <x:v>Folded-card pocket finding removed in the manager-edited file. No penalty; do not reintroduce.</x:v>
      </x:c>
      <x:c r="H171" s="2"/>
      <x:c r="I171" s="2" t="s">
        <x:v>30</x:v>
      </x:c>
    </x:row>
    <x:row r="172" ht="37.95000076293945" customHeight="1">
      <x:c r="A172" s="2">
        <x:v>4</x:v>
      </x:c>
      <x:c r="B172" s="2" t="s">
        <x:v>75</x:v>
      </x:c>
      <x:c r="C172" s="2" t="s">
        <x:v>142</x:v>
      </x:c>
      <x:c r="D172" s="2" t="s">
        <x:v>129</x:v>
      </x:c>
      <x:c r="E172" s="2" t="s">
        <x:v>143</x:v>
      </x:c>
      <x:c r="F172" s="2" t="s">
        <x:v>114</x:v>
      </x:c>
      <x:c r="G172" s="2" t="s">
        <x:v>275</x:v>
      </x:c>
      <x:c r="H172" s="2"/>
      <x:c r="I172" s="2" t="s">
        <x:v>30</x:v>
      </x:c>
    </x:row>
    <x:row r="173" ht="37.95000076293945" customHeight="1">
      <x:c r="A173" s="2">
        <x:v>4</x:v>
      </x:c>
      <x:c r="B173" s="2" t="s">
        <x:v>75</x:v>
      </x:c>
      <x:c r="C173" s="2" t="s">
        <x:v>144</x:v>
      </x:c>
      <x:c r="D173" s="2" t="s">
        <x:v>129</x:v>
      </x:c>
      <x:c r="E173" s="2" t="s">
        <x:v>145</x:v>
      </x:c>
      <x:c r="F173" s="2" t="s">
        <x:v>114</x:v>
      </x:c>
      <x:c r="G173" s="2" t="s">
        <x:v>275</x:v>
      </x:c>
      <x:c r="H173" s="2"/>
      <x:c r="I173" s="2" t="s">
        <x:v>30</x:v>
      </x:c>
    </x:row>
    <x:row r="174" ht="37.95000076293945" customHeight="1">
      <x:c r="A174" s="2">
        <x:v>4</x:v>
      </x:c>
      <x:c r="B174" s="2" t="s">
        <x:v>75</x:v>
      </x:c>
      <x:c r="C174" s="2" t="s">
        <x:v>147</x:v>
      </x:c>
      <x:c r="D174" s="2" t="s">
        <x:v>148</x:v>
      </x:c>
      <x:c r="E174" s="2" t="s">
        <x:v>149</x:v>
      </x:c>
      <x:c r="F174" s="2" t="str">
        <x:v>ACCEPTABLE</x:v>
      </x:c>
      <x:c r="G174" s="2" t="str">
        <x:v>RSVP cards may be listed as the fifth type; the text explains their response-card role. No penalty.</x:v>
      </x:c>
      <x:c r="H174" s="2"/>
      <x:c r="I174" s="2" t="s">
        <x:v>30</x:v>
      </x:c>
    </x:row>
    <x:row r="175" ht="37.95000076293945" customHeight="1">
      <x:c r="A175" s="2">
        <x:v>4</x:v>
      </x:c>
      <x:c r="B175" s="2" t="s">
        <x:v>75</x:v>
      </x:c>
      <x:c r="C175" s="2" t="s">
        <x:v>151</x:v>
      </x:c>
      <x:c r="D175" s="2" t="s">
        <x:v>148</x:v>
      </x:c>
      <x:c r="E175" s="2" t="s">
        <x:v>152</x:v>
      </x:c>
      <x:c r="F175" s="2" t="str">
        <x:v>ACCEPTABLE</x:v>
      </x:c>
      <x:c r="G175" s="2" t="str">
        <x:v>RSVP cards may be listed as the fifth type; the text explains their response-card role. No penalty.</x:v>
      </x:c>
      <x:c r="H175" s="2"/>
      <x:c r="I175" s="2" t="s">
        <x:v>30</x:v>
      </x:c>
    </x:row>
    <x:row r="176" ht="37.95000076293945" customHeight="1">
      <x:c r="A176" s="2">
        <x:v>4</x:v>
      </x:c>
      <x:c r="B176" s="2" t="s">
        <x:v>75</x:v>
      </x:c>
      <x:c r="C176" s="2" t="s">
        <x:v>153</x:v>
      </x:c>
      <x:c r="D176" s="2" t="s">
        <x:v>148</x:v>
      </x:c>
      <x:c r="E176" s="2" t="s">
        <x:v>154</x:v>
      </x:c>
      <x:c r="F176" s="2" t="s">
        <x:v>114</x:v>
      </x:c>
      <x:c r="G176" s="2" t="s">
        <x:v>276</x:v>
      </x:c>
      <x:c r="H176" s="2"/>
      <x:c r="I176" s="2" t="s">
        <x:v>30</x:v>
      </x:c>
    </x:row>
    <x:row r="177" ht="37.95000076293945" customHeight="1">
      <x:c r="A177" s="2">
        <x:v>4</x:v>
      </x:c>
      <x:c r="B177" s="2" t="s">
        <x:v>75</x:v>
      </x:c>
      <x:c r="C177" s="2" t="s">
        <x:v>155</x:v>
      </x:c>
      <x:c r="D177" s="2" t="s">
        <x:v>148</x:v>
      </x:c>
      <x:c r="E177" s="2" t="s">
        <x:v>156</x:v>
      </x:c>
      <x:c r="F177" s="2" t="s">
        <x:v>114</x:v>
      </x:c>
      <x:c r="G177" s="2" t="s">
        <x:v>276</x:v>
      </x:c>
      <x:c r="H177" s="2"/>
      <x:c r="I177" s="2" t="s">
        <x:v>30</x:v>
      </x:c>
    </x:row>
    <x:row r="178" ht="37.95000076293945" customHeight="1">
      <x:c r="A178" s="2">
        <x:v>4</x:v>
      </x:c>
      <x:c r="B178" s="2" t="s">
        <x:v>75</x:v>
      </x:c>
      <x:c r="C178" s="2" t="s">
        <x:v>157</x:v>
      </x:c>
      <x:c r="D178" s="2" t="s">
        <x:v>148</x:v>
      </x:c>
      <x:c r="E178" s="2" t="s">
        <x:v>158</x:v>
      </x:c>
      <x:c r="F178" s="2" t="s">
        <x:v>114</x:v>
      </x:c>
      <x:c r="G178" s="2" t="s">
        <x:v>276</x:v>
      </x:c>
      <x:c r="H178" s="2"/>
      <x:c r="I178" s="2" t="s">
        <x:v>30</x:v>
      </x:c>
    </x:row>
    <x:row r="179" ht="37.95000076293945" customHeight="1">
      <x:c r="A179" s="2">
        <x:v>4</x:v>
      </x:c>
      <x:c r="B179" s="2" t="s">
        <x:v>75</x:v>
      </x:c>
      <x:c r="C179" s="2" t="s">
        <x:v>159</x:v>
      </x:c>
      <x:c r="D179" s="2" t="s">
        <x:v>148</x:v>
      </x:c>
      <x:c r="E179" s="2" t="s">
        <x:v>160</x:v>
      </x:c>
      <x:c r="F179" s="2" t="s">
        <x:v>120</x:v>
      </x:c>
      <x:c r="G179" s="2" t="s">
        <x:v>121</x:v>
      </x:c>
      <x:c r="H179" s="2"/>
      <x:c r="I179" s="2" t="s">
        <x:v>30</x:v>
      </x:c>
    </x:row>
    <x:row r="180" ht="37.95000076293945" customHeight="1">
      <x:c r="A180" s="2">
        <x:v>4</x:v>
      </x:c>
      <x:c r="B180" s="2" t="s">
        <x:v>75</x:v>
      </x:c>
      <x:c r="C180" s="2" t="s">
        <x:v>161</x:v>
      </x:c>
      <x:c r="D180" s="2" t="s">
        <x:v>162</x:v>
      </x:c>
      <x:c r="E180" s="2" t="s">
        <x:v>163</x:v>
      </x:c>
      <x:c r="F180" s="2" t="s">
        <x:v>114</x:v>
      </x:c>
      <x:c r="G180" s="2" t="s">
        <x:v>277</x:v>
      </x:c>
      <x:c r="H180" s="2"/>
      <x:c r="I180" s="2" t="s">
        <x:v>30</x:v>
      </x:c>
    </x:row>
    <x:row r="181" ht="37.95000076293945" customHeight="1">
      <x:c r="A181" s="2">
        <x:v>4</x:v>
      </x:c>
      <x:c r="B181" s="2" t="s">
        <x:v>75</x:v>
      </x:c>
      <x:c r="C181" s="2" t="s">
        <x:v>165</x:v>
      </x:c>
      <x:c r="D181" s="2" t="s">
        <x:v>162</x:v>
      </x:c>
      <x:c r="E181" s="2" t="s">
        <x:v>166</x:v>
      </x:c>
      <x:c r="F181" s="2" t="s">
        <x:v>114</x:v>
      </x:c>
      <x:c r="G181" s="2" t="s">
        <x:v>277</x:v>
      </x:c>
      <x:c r="H181" s="2"/>
      <x:c r="I181" s="2" t="s">
        <x:v>30</x:v>
      </x:c>
    </x:row>
    <x:row r="182" ht="37.95000076293945" customHeight="1">
      <x:c r="A182" s="2">
        <x:v>4</x:v>
      </x:c>
      <x:c r="B182" s="2" t="s">
        <x:v>75</x:v>
      </x:c>
      <x:c r="C182" s="2" t="s">
        <x:v>167</x:v>
      </x:c>
      <x:c r="D182" s="2" t="s">
        <x:v>162</x:v>
      </x:c>
      <x:c r="E182" s="2" t="s">
        <x:v>168</x:v>
      </x:c>
      <x:c r="F182" s="2" t="s">
        <x:v>114</x:v>
      </x:c>
      <x:c r="G182" s="2" t="s">
        <x:v>277</x:v>
      </x:c>
      <x:c r="H182" s="2"/>
      <x:c r="I182" s="2" t="s">
        <x:v>30</x:v>
      </x:c>
    </x:row>
    <x:row r="183" ht="37.95000076293945" customHeight="1">
      <x:c r="A183" s="2">
        <x:v>4</x:v>
      </x:c>
      <x:c r="B183" s="2" t="s">
        <x:v>75</x:v>
      </x:c>
      <x:c r="C183" s="2" t="s">
        <x:v>169</x:v>
      </x:c>
      <x:c r="D183" s="2" t="s">
        <x:v>162</x:v>
      </x:c>
      <x:c r="E183" s="2" t="s">
        <x:v>170</x:v>
      </x:c>
      <x:c r="F183" s="2" t="str">
        <x:v>ACCEPTABLE</x:v>
      </x:c>
      <x:c r="G183" s="2" t="str">
        <x:v>RSVP cards may be listed as the fifth type; the text explains their response-card role. No penalty.</x:v>
      </x:c>
      <x:c r="H183" s="2"/>
      <x:c r="I183" s="2" t="s">
        <x:v>30</x:v>
      </x:c>
    </x:row>
    <x:row r="184" ht="37.95000076293945" customHeight="1">
      <x:c r="A184" s="2">
        <x:v>4</x:v>
      </x:c>
      <x:c r="B184" s="2" t="s">
        <x:v>75</x:v>
      </x:c>
      <x:c r="C184" s="2" t="s">
        <x:v>171</x:v>
      </x:c>
      <x:c r="D184" s="2" t="s">
        <x:v>162</x:v>
      </x:c>
      <x:c r="E184" s="2" t="s">
        <x:v>172</x:v>
      </x:c>
      <x:c r="F184" s="2" t="s">
        <x:v>120</x:v>
      </x:c>
      <x:c r="G184" s="2" t="s">
        <x:v>121</x:v>
      </x:c>
      <x:c r="H184" s="2"/>
      <x:c r="I184" s="2" t="s">
        <x:v>30</x:v>
      </x:c>
    </x:row>
    <x:row r="185" ht="37.95000076293945" customHeight="1">
      <x:c r="A185" s="2">
        <x:v>4</x:v>
      </x:c>
      <x:c r="B185" s="2" t="s">
        <x:v>75</x:v>
      </x:c>
      <x:c r="C185" s="2" t="s">
        <x:v>175</x:v>
      </x:c>
      <x:c r="D185" s="2" t="s">
        <x:v>162</x:v>
      </x:c>
      <x:c r="E185" s="2" t="s">
        <x:v>176</x:v>
      </x:c>
      <x:c r="F185" s="2" t="s">
        <x:v>120</x:v>
      </x:c>
      <x:c r="G185" s="2" t="s">
        <x:v>121</x:v>
      </x:c>
      <x:c r="H185" s="2"/>
      <x:c r="I185" s="2" t="s">
        <x:v>30</x:v>
      </x:c>
    </x:row>
    <x:row r="186" ht="37.95000076293945" customHeight="1">
      <x:c r="A186" s="2">
        <x:v>4</x:v>
      </x:c>
      <x:c r="B186" s="2" t="s">
        <x:v>75</x:v>
      </x:c>
      <x:c r="C186" s="2" t="s">
        <x:v>177</x:v>
      </x:c>
      <x:c r="D186" s="2" t="s">
        <x:v>178</x:v>
      </x:c>
      <x:c r="E186" s="2" t="s">
        <x:v>179</x:v>
      </x:c>
      <x:c r="F186" s="2" t="s">
        <x:v>120</x:v>
      </x:c>
      <x:c r="G186" s="2" t="s">
        <x:v>121</x:v>
      </x:c>
      <x:c r="H186" s="2"/>
      <x:c r="I186" s="2" t="s">
        <x:v>30</x:v>
      </x:c>
    </x:row>
    <x:row r="187" ht="37.95000076293945" customHeight="1">
      <x:c r="A187" s="2">
        <x:v>4</x:v>
      </x:c>
      <x:c r="B187" s="2" t="s">
        <x:v>75</x:v>
      </x:c>
      <x:c r="C187" s="2" t="s">
        <x:v>180</x:v>
      </x:c>
      <x:c r="D187" s="2" t="s">
        <x:v>178</x:v>
      </x:c>
      <x:c r="E187" s="2" t="s">
        <x:v>181</x:v>
      </x:c>
      <x:c r="F187" s="2" t="s">
        <x:v>114</x:v>
      </x:c>
      <x:c r="G187" s="2" t="s">
        <x:v>278</x:v>
      </x:c>
      <x:c r="H187" s="2"/>
      <x:c r="I187" s="2" t="s">
        <x:v>30</x:v>
      </x:c>
    </x:row>
    <x:row r="188" ht="37.95000076293945" customHeight="1">
      <x:c r="A188" s="2">
        <x:v>4</x:v>
      </x:c>
      <x:c r="B188" s="2" t="s">
        <x:v>75</x:v>
      </x:c>
      <x:c r="C188" s="2" t="s">
        <x:v>183</x:v>
      </x:c>
      <x:c r="D188" s="2" t="s">
        <x:v>178</x:v>
      </x:c>
      <x:c r="E188" s="2" t="s">
        <x:v>184</x:v>
      </x:c>
      <x:c r="F188" s="2" t="s">
        <x:v>114</x:v>
      </x:c>
      <x:c r="G188" s="2" t="s">
        <x:v>278</x:v>
      </x:c>
      <x:c r="H188" s="2"/>
      <x:c r="I188" s="2" t="s">
        <x:v>30</x:v>
      </x:c>
    </x:row>
    <x:row r="189" ht="37.95000076293945" customHeight="1">
      <x:c r="A189" s="2">
        <x:v>4</x:v>
      </x:c>
      <x:c r="B189" s="2" t="s">
        <x:v>75</x:v>
      </x:c>
      <x:c r="C189" s="2" t="s">
        <x:v>185</x:v>
      </x:c>
      <x:c r="D189" s="2" t="s">
        <x:v>178</x:v>
      </x:c>
      <x:c r="E189" s="2" t="s">
        <x:v>186</x:v>
      </x:c>
      <x:c r="F189" s="2" t="s">
        <x:v>120</x:v>
      </x:c>
      <x:c r="G189" s="2" t="s">
        <x:v>121</x:v>
      </x:c>
      <x:c r="H189" s="2"/>
      <x:c r="I189" s="2" t="s">
        <x:v>30</x:v>
      </x:c>
    </x:row>
    <x:row r="190" ht="37.95000076293945" customHeight="1">
      <x:c r="A190" s="2">
        <x:v>4</x:v>
      </x:c>
      <x:c r="B190" s="2" t="s">
        <x:v>75</x:v>
      </x:c>
      <x:c r="C190" s="2" t="s">
        <x:v>187</x:v>
      </x:c>
      <x:c r="D190" s="2" t="s">
        <x:v>178</x:v>
      </x:c>
      <x:c r="E190" s="2" t="s">
        <x:v>188</x:v>
      </x:c>
      <x:c r="F190" s="2" t="s">
        <x:v>114</x:v>
      </x:c>
      <x:c r="G190" s="2" t="s">
        <x:v>278</x:v>
      </x:c>
      <x:c r="H190" s="2"/>
      <x:c r="I190" s="2" t="s">
        <x:v>30</x:v>
      </x:c>
    </x:row>
    <x:row r="191" ht="37.95000076293945" customHeight="1">
      <x:c r="A191" s="2">
        <x:v>4</x:v>
      </x:c>
      <x:c r="B191" s="2" t="s">
        <x:v>75</x:v>
      </x:c>
      <x:c r="C191" s="2" t="s">
        <x:v>189</x:v>
      </x:c>
      <x:c r="D191" s="2" t="s">
        <x:v>178</x:v>
      </x:c>
      <x:c r="E191" s="2" t="s">
        <x:v>190</x:v>
      </x:c>
      <x:c r="F191" s="2" t="s">
        <x:v>114</x:v>
      </x:c>
      <x:c r="G191" s="2" t="s">
        <x:v>278</x:v>
      </x:c>
      <x:c r="H191" s="2"/>
      <x:c r="I191" s="2" t="s">
        <x:v>30</x:v>
      </x:c>
    </x:row>
    <x:row r="192" ht="37.95000076293945" customHeight="1">
      <x:c r="A192" s="2">
        <x:v>4</x:v>
      </x:c>
      <x:c r="B192" s="2" t="s">
        <x:v>75</x:v>
      </x:c>
      <x:c r="C192" s="2" t="s">
        <x:v>191</x:v>
      </x:c>
      <x:c r="D192" s="2" t="s">
        <x:v>192</x:v>
      </x:c>
      <x:c r="E192" s="2" t="s">
        <x:v>193</x:v>
      </x:c>
      <x:c r="F192" s="2" t="s">
        <x:v>114</x:v>
      </x:c>
      <x:c r="G192" s="2" t="s">
        <x:v>279</x:v>
      </x:c>
      <x:c r="H192" s="2"/>
      <x:c r="I192" s="2" t="s">
        <x:v>30</x:v>
      </x:c>
    </x:row>
    <x:row r="193" ht="37.95000076293945" customHeight="1">
      <x:c r="A193" s="2">
        <x:v>4</x:v>
      </x:c>
      <x:c r="B193" s="2" t="s">
        <x:v>75</x:v>
      </x:c>
      <x:c r="C193" s="2" t="s">
        <x:v>195</x:v>
      </x:c>
      <x:c r="D193" s="2" t="s">
        <x:v>192</x:v>
      </x:c>
      <x:c r="E193" s="2" t="s">
        <x:v>196</x:v>
      </x:c>
      <x:c r="F193" s="2" t="s">
        <x:v>114</x:v>
      </x:c>
      <x:c r="G193" s="2" t="s">
        <x:v>279</x:v>
      </x:c>
      <x:c r="H193" s="2"/>
      <x:c r="I193" s="2" t="s">
        <x:v>30</x:v>
      </x:c>
    </x:row>
    <x:row r="194" ht="37.95000076293945" customHeight="1">
      <x:c r="A194" s="2">
        <x:v>4</x:v>
      </x:c>
      <x:c r="B194" s="2" t="s">
        <x:v>75</x:v>
      </x:c>
      <x:c r="C194" s="2" t="s">
        <x:v>197</x:v>
      </x:c>
      <x:c r="D194" s="2" t="s">
        <x:v>192</x:v>
      </x:c>
      <x:c r="E194" s="2" t="s">
        <x:v>198</x:v>
      </x:c>
      <x:c r="F194" s="2" t="s">
        <x:v>114</x:v>
      </x:c>
      <x:c r="G194" s="2" t="s">
        <x:v>279</x:v>
      </x:c>
      <x:c r="H194" s="2"/>
      <x:c r="I194" s="2" t="s">
        <x:v>30</x:v>
      </x:c>
    </x:row>
    <x:row r="195" ht="37.95000076293945" customHeight="1">
      <x:c r="A195" s="2">
        <x:v>4</x:v>
      </x:c>
      <x:c r="B195" s="2" t="s">
        <x:v>75</x:v>
      </x:c>
      <x:c r="C195" s="2" t="s">
        <x:v>199</x:v>
      </x:c>
      <x:c r="D195" s="2" t="s">
        <x:v>192</x:v>
      </x:c>
      <x:c r="E195" s="2" t="s">
        <x:v>200</x:v>
      </x:c>
      <x:c r="F195" s="2" t="s">
        <x:v>114</x:v>
      </x:c>
      <x:c r="G195" s="2" t="s">
        <x:v>279</x:v>
      </x:c>
      <x:c r="H195" s="2"/>
      <x:c r="I195" s="2" t="s">
        <x:v>30</x:v>
      </x:c>
    </x:row>
    <x:row r="196" ht="37.95000076293945" customHeight="1">
      <x:c r="A196" s="2">
        <x:v>4</x:v>
      </x:c>
      <x:c r="B196" s="2" t="s">
        <x:v>75</x:v>
      </x:c>
      <x:c r="C196" s="2" t="s">
        <x:v>201</x:v>
      </x:c>
      <x:c r="D196" s="2" t="s">
        <x:v>192</x:v>
      </x:c>
      <x:c r="E196" s="2" t="s">
        <x:v>202</x:v>
      </x:c>
      <x:c r="F196" s="2" t="s">
        <x:v>114</x:v>
      </x:c>
      <x:c r="G196" s="2" t="s">
        <x:v>279</x:v>
      </x:c>
      <x:c r="H196" s="2"/>
      <x:c r="I196" s="2" t="s">
        <x:v>30</x:v>
      </x:c>
    </x:row>
    <x:row r="197" ht="37.95000076293945" customHeight="1">
      <x:c r="A197" s="2">
        <x:v>4</x:v>
      </x:c>
      <x:c r="B197" s="2" t="s">
        <x:v>75</x:v>
      </x:c>
      <x:c r="C197" s="2" t="s">
        <x:v>203</x:v>
      </x:c>
      <x:c r="D197" s="2" t="s">
        <x:v>204</x:v>
      </x:c>
      <x:c r="E197" s="2" t="s">
        <x:v>205</x:v>
      </x:c>
      <x:c r="F197" s="2" t="s">
        <x:v>120</x:v>
      </x:c>
      <x:c r="G197" s="2" t="s">
        <x:v>121</x:v>
      </x:c>
      <x:c r="H197" s="2"/>
      <x:c r="I197" s="2" t="s">
        <x:v>30</x:v>
      </x:c>
    </x:row>
    <x:row r="198" ht="37.95000076293945" customHeight="1">
      <x:c r="A198" s="2">
        <x:v>4</x:v>
      </x:c>
      <x:c r="B198" s="2" t="s">
        <x:v>75</x:v>
      </x:c>
      <x:c r="C198" s="2" t="s">
        <x:v>206</x:v>
      </x:c>
      <x:c r="D198" s="2" t="s">
        <x:v>204</x:v>
      </x:c>
      <x:c r="E198" s="2" t="s">
        <x:v>207</x:v>
      </x:c>
      <x:c r="F198" s="2" t="s">
        <x:v>120</x:v>
      </x:c>
      <x:c r="G198" s="2" t="s">
        <x:v>121</x:v>
      </x:c>
      <x:c r="H198" s="2"/>
      <x:c r="I198" s="2" t="s">
        <x:v>30</x:v>
      </x:c>
    </x:row>
    <x:row r="199" ht="37.95000076293945" customHeight="1">
      <x:c r="A199" s="2">
        <x:v>4</x:v>
      </x:c>
      <x:c r="B199" s="2" t="s">
        <x:v>75</x:v>
      </x:c>
      <x:c r="C199" s="2" t="s">
        <x:v>208</x:v>
      </x:c>
      <x:c r="D199" s="2" t="s">
        <x:v>204</x:v>
      </x:c>
      <x:c r="E199" s="2" t="s">
        <x:v>209</x:v>
      </x:c>
      <x:c r="F199" s="2" t="s">
        <x:v>120</x:v>
      </x:c>
      <x:c r="G199" s="2" t="s">
        <x:v>121</x:v>
      </x:c>
      <x:c r="H199" s="2"/>
      <x:c r="I199" s="2" t="s">
        <x:v>30</x:v>
      </x:c>
    </x:row>
    <x:row r="200" ht="37.95000076293945" customHeight="1">
      <x:c r="A200" s="2">
        <x:v>4</x:v>
      </x:c>
      <x:c r="B200" s="2" t="s">
        <x:v>75</x:v>
      </x:c>
      <x:c r="C200" s="2" t="s">
        <x:v>212</x:v>
      </x:c>
      <x:c r="D200" s="2" t="s">
        <x:v>204</x:v>
      </x:c>
      <x:c r="E200" s="2" t="s">
        <x:v>213</x:v>
      </x:c>
      <x:c r="F200" s="2" t="s">
        <x:v>120</x:v>
      </x:c>
      <x:c r="G200" s="2" t="s">
        <x:v>121</x:v>
      </x:c>
      <x:c r="H200" s="2"/>
      <x:c r="I200" s="2" t="s">
        <x:v>30</x:v>
      </x:c>
    </x:row>
    <x:row r="201" ht="37.95000076293945" customHeight="1">
      <x:c r="A201" s="2">
        <x:v>4</x:v>
      </x:c>
      <x:c r="B201" s="2" t="s">
        <x:v>75</x:v>
      </x:c>
      <x:c r="C201" s="2" t="s">
        <x:v>214</x:v>
      </x:c>
      <x:c r="D201" s="2" t="s">
        <x:v>204</x:v>
      </x:c>
      <x:c r="E201" s="2" t="s">
        <x:v>215</x:v>
      </x:c>
      <x:c r="F201" s="2" t="s">
        <x:v>114</x:v>
      </x:c>
      <x:c r="G201" s="2" t="s">
        <x:v>280</x:v>
      </x:c>
      <x:c r="H201" s="2"/>
      <x:c r="I201" s="2" t="s">
        <x:v>30</x:v>
      </x:c>
    </x:row>
    <x:row r="202" ht="37.95000076293945" customHeight="1">
      <x:c r="A202" s="2">
        <x:v>4</x:v>
      </x:c>
      <x:c r="B202" s="2" t="s">
        <x:v>75</x:v>
      </x:c>
      <x:c r="C202" s="2" t="s">
        <x:v>217</x:v>
      </x:c>
      <x:c r="D202" s="2" t="s">
        <x:v>204</x:v>
      </x:c>
      <x:c r="E202" s="2" t="s">
        <x:v>218</x:v>
      </x:c>
      <x:c r="F202" s="2" t="s">
        <x:v>114</x:v>
      </x:c>
      <x:c r="G202" s="2" t="s">
        <x:v>280</x:v>
      </x:c>
      <x:c r="H202" s="2"/>
      <x:c r="I202" s="2" t="s">
        <x:v>30</x:v>
      </x:c>
    </x:row>
    <x:row r="203" ht="37.95000076293945" customHeight="1">
      <x:c r="A203" s="2">
        <x:v>4</x:v>
      </x:c>
      <x:c r="B203" s="2" t="s">
        <x:v>75</x:v>
      </x:c>
      <x:c r="C203" s="2" t="s">
        <x:v>219</x:v>
      </x:c>
      <x:c r="D203" s="2" t="s">
        <x:v>220</x:v>
      </x:c>
      <x:c r="E203" s="2" t="s">
        <x:v>221</x:v>
      </x:c>
      <x:c r="F203" s="2" t="s">
        <x:v>114</x:v>
      </x:c>
      <x:c r="G203" s="2" t="s">
        <x:v>281</x:v>
      </x:c>
      <x:c r="H203" s="2"/>
      <x:c r="I203" s="2" t="s">
        <x:v>30</x:v>
      </x:c>
    </x:row>
    <x:row r="204" ht="37.95000076293945" customHeight="1">
      <x:c r="A204" s="2">
        <x:v>4</x:v>
      </x:c>
      <x:c r="B204" s="2" t="s">
        <x:v>75</x:v>
      </x:c>
      <x:c r="C204" s="2" t="s">
        <x:v>223</x:v>
      </x:c>
      <x:c r="D204" s="2" t="s">
        <x:v>220</x:v>
      </x:c>
      <x:c r="E204" s="2" t="s">
        <x:v>224</x:v>
      </x:c>
      <x:c r="F204" s="2" t="s">
        <x:v>114</x:v>
      </x:c>
      <x:c r="G204" s="2" t="s">
        <x:v>281</x:v>
      </x:c>
      <x:c r="H204" s="2"/>
      <x:c r="I204" s="2" t="s">
        <x:v>30</x:v>
      </x:c>
    </x:row>
    <x:row r="205" ht="37.95000076293945" customHeight="1">
      <x:c r="A205" s="2">
        <x:v>4</x:v>
      </x:c>
      <x:c r="B205" s="2" t="s">
        <x:v>75</x:v>
      </x:c>
      <x:c r="C205" s="2" t="s">
        <x:v>225</x:v>
      </x:c>
      <x:c r="D205" s="2" t="s">
        <x:v>220</x:v>
      </x:c>
      <x:c r="E205" s="2" t="s">
        <x:v>226</x:v>
      </x:c>
      <x:c r="F205" s="2" t="s">
        <x:v>114</x:v>
      </x:c>
      <x:c r="G205" s="2" t="s">
        <x:v>281</x:v>
      </x:c>
      <x:c r="H205" s="2"/>
      <x:c r="I205" s="2" t="s">
        <x:v>30</x:v>
      </x:c>
    </x:row>
    <x:row r="206" ht="37.95000076293945" customHeight="1">
      <x:c r="A206" s="2">
        <x:v>4</x:v>
      </x:c>
      <x:c r="B206" s="2" t="s">
        <x:v>75</x:v>
      </x:c>
      <x:c r="C206" s="2" t="s">
        <x:v>227</x:v>
      </x:c>
      <x:c r="D206" s="2" t="s">
        <x:v>220</x:v>
      </x:c>
      <x:c r="E206" s="2" t="s">
        <x:v>228</x:v>
      </x:c>
      <x:c r="F206" s="2" t="s">
        <x:v>229</x:v>
      </x:c>
      <x:c r="G206" s="2" t="s">
        <x:v>230</x:v>
      </x:c>
      <x:c r="H206" s="2"/>
      <x:c r="I206" s="2" t="s">
        <x:v>30</x:v>
      </x:c>
    </x:row>
    <x:row r="207" ht="37.95000076293945" customHeight="1">
      <x:c r="A207" s="2">
        <x:v>4</x:v>
      </x:c>
      <x:c r="B207" s="2" t="s">
        <x:v>75</x:v>
      </x:c>
      <x:c r="C207" s="2" t="s">
        <x:v>231</x:v>
      </x:c>
      <x:c r="D207" s="2" t="s">
        <x:v>220</x:v>
      </x:c>
      <x:c r="E207" s="2" t="s">
        <x:v>232</x:v>
      </x:c>
      <x:c r="F207" s="2" t="s">
        <x:v>114</x:v>
      </x:c>
      <x:c r="G207" s="2" t="s">
        <x:v>281</x:v>
      </x:c>
      <x:c r="H207" s="2"/>
      <x:c r="I207" s="2" t="s">
        <x:v>30</x:v>
      </x:c>
    </x:row>
    <x:row r="208" ht="37.95000076293945" customHeight="1">
      <x:c r="A208" s="2">
        <x:v>4</x:v>
      </x:c>
      <x:c r="B208" s="2" t="s">
        <x:v>75</x:v>
      </x:c>
      <x:c r="C208" s="2" t="s">
        <x:v>233</x:v>
      </x:c>
      <x:c r="D208" s="2" t="s">
        <x:v>234</x:v>
      </x:c>
      <x:c r="E208" s="2" t="s">
        <x:v>235</x:v>
      </x:c>
      <x:c r="F208" s="2" t="s">
        <x:v>120</x:v>
      </x:c>
      <x:c r="G208" s="2" t="s">
        <x:v>121</x:v>
      </x:c>
      <x:c r="H208" s="2"/>
      <x:c r="I208" s="2" t="s">
        <x:v>30</x:v>
      </x:c>
    </x:row>
    <x:row r="209" ht="37.95000076293945" customHeight="1">
      <x:c r="A209" s="2">
        <x:v>4</x:v>
      </x:c>
      <x:c r="B209" s="2" t="s">
        <x:v>75</x:v>
      </x:c>
      <x:c r="C209" s="2" t="s">
        <x:v>236</x:v>
      </x:c>
      <x:c r="D209" s="2" t="s">
        <x:v>234</x:v>
      </x:c>
      <x:c r="E209" s="2" t="s">
        <x:v>237</x:v>
      </x:c>
      <x:c r="F209" s="2" t="s">
        <x:v>114</x:v>
      </x:c>
      <x:c r="G209" s="2" t="s">
        <x:v>282</x:v>
      </x:c>
      <x:c r="H209" s="2"/>
      <x:c r="I209" s="2" t="s">
        <x:v>30</x:v>
      </x:c>
    </x:row>
    <x:row r="210" ht="37.95000076293945" customHeight="1">
      <x:c r="A210" s="2">
        <x:v>4</x:v>
      </x:c>
      <x:c r="B210" s="2" t="s">
        <x:v>75</x:v>
      </x:c>
      <x:c r="C210" s="2" t="s">
        <x:v>239</x:v>
      </x:c>
      <x:c r="D210" s="2" t="s">
        <x:v>234</x:v>
      </x:c>
      <x:c r="E210" s="2" t="s">
        <x:v>240</x:v>
      </x:c>
      <x:c r="F210" s="2" t="s">
        <x:v>120</x:v>
      </x:c>
      <x:c r="G210" s="2" t="s">
        <x:v>121</x:v>
      </x:c>
      <x:c r="H210" s="2"/>
      <x:c r="I210" s="2" t="s">
        <x:v>30</x:v>
      </x:c>
    </x:row>
    <x:row r="211" ht="37.95000076293945" customHeight="1">
      <x:c r="A211" s="2">
        <x:v>4</x:v>
      </x:c>
      <x:c r="B211" s="2" t="s">
        <x:v>75</x:v>
      </x:c>
      <x:c r="C211" s="2" t="s">
        <x:v>241</x:v>
      </x:c>
      <x:c r="D211" s="2" t="s">
        <x:v>234</x:v>
      </x:c>
      <x:c r="E211" s="2" t="s">
        <x:v>242</x:v>
      </x:c>
      <x:c r="F211" s="2" t="s">
        <x:v>120</x:v>
      </x:c>
      <x:c r="G211" s="2" t="s">
        <x:v>121</x:v>
      </x:c>
      <x:c r="H211" s="2"/>
      <x:c r="I211" s="2" t="s">
        <x:v>30</x:v>
      </x:c>
    </x:row>
    <x:row r="212" ht="37.95000076293945" customHeight="1">
      <x:c r="A212" s="2">
        <x:v>4</x:v>
      </x:c>
      <x:c r="B212" s="2" t="s">
        <x:v>75</x:v>
      </x:c>
      <x:c r="C212" s="2" t="s">
        <x:v>243</x:v>
      </x:c>
      <x:c r="D212" s="2" t="s">
        <x:v>234</x:v>
      </x:c>
      <x:c r="E212" s="2" t="s">
        <x:v>244</x:v>
      </x:c>
      <x:c r="F212" s="2" t="s">
        <x:v>120</x:v>
      </x:c>
      <x:c r="G212" s="2" t="s">
        <x:v>121</x:v>
      </x:c>
      <x:c r="H212" s="2"/>
      <x:c r="I212" s="2" t="s">
        <x:v>30</x:v>
      </x:c>
    </x:row>
    <x:row r="213" ht="37.95000076293945" customHeight="1">
      <x:c r="A213" s="2">
        <x:v>4</x:v>
      </x:c>
      <x:c r="B213" s="2" t="s">
        <x:v>75</x:v>
      </x:c>
      <x:c r="C213" s="2" t="s">
        <x:v>245</x:v>
      </x:c>
      <x:c r="D213" s="2" t="s">
        <x:v>234</x:v>
      </x:c>
      <x:c r="E213" s="2" t="s">
        <x:v>246</x:v>
      </x:c>
      <x:c r="F213" s="2" t="s">
        <x:v>120</x:v>
      </x:c>
      <x:c r="G213" s="2" t="s">
        <x:v>121</x:v>
      </x:c>
      <x:c r="H213" s="2"/>
      <x:c r="I213" s="2" t="s">
        <x:v>30</x:v>
      </x:c>
    </x:row>
    <x:row r="214" ht="37.95000076293945" customHeight="1">
      <x:c r="A214" s="2">
        <x:v>5</x:v>
      </x:c>
      <x:c r="B214" s="2" t="s">
        <x:v>82</x:v>
      </x:c>
      <x:c r="C214" s="2" t="s">
        <x:v>111</x:v>
      </x:c>
      <x:c r="D214" s="2" t="s">
        <x:v>112</x:v>
      </x:c>
      <x:c r="E214" s="2" t="s">
        <x:v>113</x:v>
      </x:c>
      <x:c r="F214" s="2" t="s">
        <x:v>114</x:v>
      </x:c>
      <x:c r="G214" s="2" t="s">
        <x:v>283</x:v>
      </x:c>
      <x:c r="H214" s="2"/>
      <x:c r="I214" s="2" t="s">
        <x:v>31</x:v>
      </x:c>
    </x:row>
    <x:row r="215" ht="37.95000076293945" customHeight="1">
      <x:c r="A215" s="2">
        <x:v>5</x:v>
      </x:c>
      <x:c r="B215" s="2" t="s">
        <x:v>82</x:v>
      </x:c>
      <x:c r="C215" s="2" t="s">
        <x:v>116</x:v>
      </x:c>
      <x:c r="D215" s="2" t="s">
        <x:v>112</x:v>
      </x:c>
      <x:c r="E215" s="2" t="s">
        <x:v>117</x:v>
      </x:c>
      <x:c r="F215" s="2" t="s">
        <x:v>114</x:v>
      </x:c>
      <x:c r="G215" s="2" t="s">
        <x:v>283</x:v>
      </x:c>
      <x:c r="H215" s="2"/>
      <x:c r="I215" s="2" t="s">
        <x:v>31</x:v>
      </x:c>
    </x:row>
    <x:row r="216" ht="37.95000076293945" customHeight="1">
      <x:c r="A216" s="2">
        <x:v>5</x:v>
      </x:c>
      <x:c r="B216" s="2" t="s">
        <x:v>82</x:v>
      </x:c>
      <x:c r="C216" s="2" t="s">
        <x:v>118</x:v>
      </x:c>
      <x:c r="D216" s="2" t="s">
        <x:v>112</x:v>
      </x:c>
      <x:c r="E216" s="2" t="s">
        <x:v>119</x:v>
      </x:c>
      <x:c r="F216" s="2" t="s">
        <x:v>114</x:v>
      </x:c>
      <x:c r="G216" s="2" t="s">
        <x:v>283</x:v>
      </x:c>
      <x:c r="H216" s="2"/>
      <x:c r="I216" s="2" t="s">
        <x:v>31</x:v>
      </x:c>
    </x:row>
    <x:row r="217" ht="37.95000076293945" customHeight="1">
      <x:c r="A217" s="2">
        <x:v>5</x:v>
      </x:c>
      <x:c r="B217" s="2" t="s">
        <x:v>82</x:v>
      </x:c>
      <x:c r="C217" s="2" t="s">
        <x:v>122</x:v>
      </x:c>
      <x:c r="D217" s="2" t="s">
        <x:v>112</x:v>
      </x:c>
      <x:c r="E217" s="2" t="s">
        <x:v>123</x:v>
      </x:c>
      <x:c r="F217" s="2" t="s">
        <x:v>114</x:v>
      </x:c>
      <x:c r="G217" s="2" t="s">
        <x:v>283</x:v>
      </x:c>
      <x:c r="H217" s="2"/>
      <x:c r="I217" s="2" t="s">
        <x:v>31</x:v>
      </x:c>
    </x:row>
    <x:row r="218" ht="37.95000076293945" customHeight="1">
      <x:c r="A218" s="2">
        <x:v>5</x:v>
      </x:c>
      <x:c r="B218" s="2" t="s">
        <x:v>82</x:v>
      </x:c>
      <x:c r="C218" s="2" t="s">
        <x:v>124</x:v>
      </x:c>
      <x:c r="D218" s="2" t="s">
        <x:v>112</x:v>
      </x:c>
      <x:c r="E218" s="2" t="s">
        <x:v>125</x:v>
      </x:c>
      <x:c r="F218" s="2" t="s">
        <x:v>120</x:v>
      </x:c>
      <x:c r="G218" s="2" t="s">
        <x:v>121</x:v>
      </x:c>
      <x:c r="H218" s="2"/>
      <x:c r="I218" s="2" t="s">
        <x:v>31</x:v>
      </x:c>
    </x:row>
    <x:row r="219" ht="37.95000076293945" customHeight="1">
      <x:c r="A219" s="2">
        <x:v>5</x:v>
      </x:c>
      <x:c r="B219" s="2" t="s">
        <x:v>82</x:v>
      </x:c>
      <x:c r="C219" s="2" t="s">
        <x:v>126</x:v>
      </x:c>
      <x:c r="D219" s="2" t="s">
        <x:v>112</x:v>
      </x:c>
      <x:c r="E219" s="2" t="s">
        <x:v>127</x:v>
      </x:c>
      <x:c r="F219" s="2" t="s">
        <x:v>114</x:v>
      </x:c>
      <x:c r="G219" s="2" t="s">
        <x:v>283</x:v>
      </x:c>
      <x:c r="H219" s="2"/>
      <x:c r="I219" s="2" t="s">
        <x:v>31</x:v>
      </x:c>
    </x:row>
    <x:row r="220" ht="37.95000076293945" customHeight="1">
      <x:c r="A220" s="2">
        <x:v>5</x:v>
      </x:c>
      <x:c r="B220" s="2" t="s">
        <x:v>82</x:v>
      </x:c>
      <x:c r="C220" s="2" t="s">
        <x:v>128</x:v>
      </x:c>
      <x:c r="D220" s="2" t="s">
        <x:v>129</x:v>
      </x:c>
      <x:c r="E220" s="2" t="s">
        <x:v>130</x:v>
      </x:c>
      <x:c r="F220" s="2" t="s">
        <x:v>131</x:v>
      </x:c>
      <x:c r="G220" s="2" t="s">
        <x:v>284</x:v>
      </x:c>
      <x:c r="H220" s="2" t="s">
        <x:v>285</x:v>
      </x:c>
      <x:c r="I220" s="2" t="s">
        <x:v>31</x:v>
      </x:c>
    </x:row>
    <x:row r="221" ht="37.95000076293945" customHeight="1">
      <x:c r="A221" s="2">
        <x:v>5</x:v>
      </x:c>
      <x:c r="B221" s="2" t="s">
        <x:v>82</x:v>
      </x:c>
      <x:c r="C221" s="2" t="s">
        <x:v>132</x:v>
      </x:c>
      <x:c r="D221" s="2" t="s">
        <x:v>129</x:v>
      </x:c>
      <x:c r="E221" s="2" t="s">
        <x:v>133</x:v>
      </x:c>
      <x:c r="F221" s="2" t="s">
        <x:v>131</x:v>
      </x:c>
      <x:c r="G221" s="2" t="s">
        <x:v>286</x:v>
      </x:c>
      <x:c r="H221" s="2" t="s">
        <x:v>84</x:v>
      </x:c>
      <x:c r="I221" s="2" t="s">
        <x:v>31</x:v>
      </x:c>
    </x:row>
    <x:row r="222" ht="37.95000076293945" customHeight="1">
      <x:c r="A222" s="2">
        <x:v>5</x:v>
      </x:c>
      <x:c r="B222" s="2" t="s">
        <x:v>82</x:v>
      </x:c>
      <x:c r="C222" s="2" t="s">
        <x:v>135</x:v>
      </x:c>
      <x:c r="D222" s="2" t="s">
        <x:v>129</x:v>
      </x:c>
      <x:c r="E222" s="2" t="s">
        <x:v>136</x:v>
      </x:c>
      <x:c r="F222" s="2" t="s">
        <x:v>131</x:v>
      </x:c>
      <x:c r="G222" s="2" t="s">
        <x:v>287</x:v>
      </x:c>
      <x:c r="H222" s="2" t="s">
        <x:v>288</x:v>
      </x:c>
      <x:c r="I222" s="2" t="s">
        <x:v>31</x:v>
      </x:c>
    </x:row>
    <x:row r="223" ht="37.95000076293945" customHeight="1">
      <x:c r="A223" s="2">
        <x:v>5</x:v>
      </x:c>
      <x:c r="B223" s="2" t="s">
        <x:v>82</x:v>
      </x:c>
      <x:c r="C223" s="2" t="s">
        <x:v>140</x:v>
      </x:c>
      <x:c r="D223" s="2" t="s">
        <x:v>129</x:v>
      </x:c>
      <x:c r="E223" s="2" t="s">
        <x:v>141</x:v>
      </x:c>
      <x:c r="F223" s="2" t="s">
        <x:v>131</x:v>
      </x:c>
      <x:c r="G223" s="2" t="s">
        <x:v>289</x:v>
      </x:c>
      <x:c r="H223" s="2" t="s">
        <x:v>290</x:v>
      </x:c>
      <x:c r="I223" s="2" t="s">
        <x:v>31</x:v>
      </x:c>
    </x:row>
    <x:row r="224" ht="37.95000076293945" customHeight="1">
      <x:c r="A224" s="2">
        <x:v>5</x:v>
      </x:c>
      <x:c r="B224" s="2" t="s">
        <x:v>82</x:v>
      </x:c>
      <x:c r="C224" s="2" t="s">
        <x:v>142</x:v>
      </x:c>
      <x:c r="D224" s="2" t="s">
        <x:v>129</x:v>
      </x:c>
      <x:c r="E224" s="2" t="s">
        <x:v>143</x:v>
      </x:c>
      <x:c r="F224" s="2" t="s">
        <x:v>131</x:v>
      </x:c>
      <x:c r="G224" s="2" t="str">
        <x:v>Face stock is incorrectly equated with adhesive behavior</x:v>
      </x:c>
      <x:c r="H224" s="2" t="str">
        <x:v>FZ-B05-02</x:v>
      </x:c>
      <x:c r="I224" s="2" t="s">
        <x:v>31</x:v>
      </x:c>
    </x:row>
    <x:row r="225" ht="37.95000076293945" customHeight="1">
      <x:c r="A225" s="2">
        <x:v>5</x:v>
      </x:c>
      <x:c r="B225" s="2" t="s">
        <x:v>82</x:v>
      </x:c>
      <x:c r="C225" s="2" t="s">
        <x:v>144</x:v>
      </x:c>
      <x:c r="D225" s="2" t="s">
        <x:v>129</x:v>
      </x:c>
      <x:c r="E225" s="2" t="s">
        <x:v>145</x:v>
      </x:c>
      <x:c r="F225" s="2" t="s">
        <x:v>114</x:v>
      </x:c>
      <x:c r="G225" s="2" t="s">
        <x:v>291</x:v>
      </x:c>
      <x:c r="H225" s="2"/>
      <x:c r="I225" s="2" t="s">
        <x:v>31</x:v>
      </x:c>
    </x:row>
    <x:row r="226" ht="37.95000076293945" customHeight="1">
      <x:c r="A226" s="2">
        <x:v>5</x:v>
      </x:c>
      <x:c r="B226" s="2" t="s">
        <x:v>82</x:v>
      </x:c>
      <x:c r="C226" s="2" t="s">
        <x:v>147</x:v>
      </x:c>
      <x:c r="D226" s="2" t="s">
        <x:v>148</x:v>
      </x:c>
      <x:c r="E226" s="2" t="s">
        <x:v>149</x:v>
      </x:c>
      <x:c r="F226" s="2" t="s">
        <x:v>114</x:v>
      </x:c>
      <x:c r="G226" s="2" t="s">
        <x:v>292</x:v>
      </x:c>
      <x:c r="H226" s="2"/>
      <x:c r="I226" s="2" t="s">
        <x:v>31</x:v>
      </x:c>
    </x:row>
    <x:row r="227" ht="37.95000076293945" customHeight="1">
      <x:c r="A227" s="2">
        <x:v>5</x:v>
      </x:c>
      <x:c r="B227" s="2" t="s">
        <x:v>82</x:v>
      </x:c>
      <x:c r="C227" s="2" t="s">
        <x:v>151</x:v>
      </x:c>
      <x:c r="D227" s="2" t="s">
        <x:v>148</x:v>
      </x:c>
      <x:c r="E227" s="2" t="s">
        <x:v>152</x:v>
      </x:c>
      <x:c r="F227" s="2" t="s">
        <x:v>114</x:v>
      </x:c>
      <x:c r="G227" s="2" t="s">
        <x:v>292</x:v>
      </x:c>
      <x:c r="H227" s="2"/>
      <x:c r="I227" s="2" t="s">
        <x:v>31</x:v>
      </x:c>
    </x:row>
    <x:row r="228" ht="37.95000076293945" customHeight="1">
      <x:c r="A228" s="2">
        <x:v>5</x:v>
      </x:c>
      <x:c r="B228" s="2" t="s">
        <x:v>82</x:v>
      </x:c>
      <x:c r="C228" s="2" t="s">
        <x:v>153</x:v>
      </x:c>
      <x:c r="D228" s="2" t="s">
        <x:v>148</x:v>
      </x:c>
      <x:c r="E228" s="2" t="s">
        <x:v>154</x:v>
      </x:c>
      <x:c r="F228" s="2" t="s">
        <x:v>114</x:v>
      </x:c>
      <x:c r="G228" s="2" t="s">
        <x:v>292</x:v>
      </x:c>
      <x:c r="H228" s="2"/>
      <x:c r="I228" s="2" t="s">
        <x:v>31</x:v>
      </x:c>
    </x:row>
    <x:row r="229" ht="37.95000076293945" customHeight="1">
      <x:c r="A229" s="2">
        <x:v>5</x:v>
      </x:c>
      <x:c r="B229" s="2" t="s">
        <x:v>82</x:v>
      </x:c>
      <x:c r="C229" s="2" t="s">
        <x:v>155</x:v>
      </x:c>
      <x:c r="D229" s="2" t="s">
        <x:v>148</x:v>
      </x:c>
      <x:c r="E229" s="2" t="s">
        <x:v>156</x:v>
      </x:c>
      <x:c r="F229" s="2" t="s">
        <x:v>114</x:v>
      </x:c>
      <x:c r="G229" s="2" t="s">
        <x:v>292</x:v>
      </x:c>
      <x:c r="H229" s="2"/>
      <x:c r="I229" s="2" t="s">
        <x:v>31</x:v>
      </x:c>
    </x:row>
    <x:row r="230" ht="37.95000076293945" customHeight="1">
      <x:c r="A230" s="2">
        <x:v>5</x:v>
      </x:c>
      <x:c r="B230" s="2" t="s">
        <x:v>82</x:v>
      </x:c>
      <x:c r="C230" s="2" t="s">
        <x:v>157</x:v>
      </x:c>
      <x:c r="D230" s="2" t="s">
        <x:v>148</x:v>
      </x:c>
      <x:c r="E230" s="2" t="s">
        <x:v>158</x:v>
      </x:c>
      <x:c r="F230" s="2" t="s">
        <x:v>114</x:v>
      </x:c>
      <x:c r="G230" s="2" t="s">
        <x:v>292</x:v>
      </x:c>
      <x:c r="H230" s="2"/>
      <x:c r="I230" s="2" t="s">
        <x:v>31</x:v>
      </x:c>
    </x:row>
    <x:row r="231" ht="37.95000076293945" customHeight="1">
      <x:c r="A231" s="2">
        <x:v>5</x:v>
      </x:c>
      <x:c r="B231" s="2" t="s">
        <x:v>82</x:v>
      </x:c>
      <x:c r="C231" s="2" t="s">
        <x:v>159</x:v>
      </x:c>
      <x:c r="D231" s="2" t="s">
        <x:v>148</x:v>
      </x:c>
      <x:c r="E231" s="2" t="s">
        <x:v>160</x:v>
      </x:c>
      <x:c r="F231" s="2" t="s">
        <x:v>120</x:v>
      </x:c>
      <x:c r="G231" s="2" t="s">
        <x:v>121</x:v>
      </x:c>
      <x:c r="H231" s="2"/>
      <x:c r="I231" s="2" t="s">
        <x:v>31</x:v>
      </x:c>
    </x:row>
    <x:row r="232" ht="37.95000076293945" customHeight="1">
      <x:c r="A232" s="2">
        <x:v>5</x:v>
      </x:c>
      <x:c r="B232" s="2" t="s">
        <x:v>82</x:v>
      </x:c>
      <x:c r="C232" s="2" t="s">
        <x:v>161</x:v>
      </x:c>
      <x:c r="D232" s="2" t="s">
        <x:v>162</x:v>
      </x:c>
      <x:c r="E232" s="2" t="s">
        <x:v>163</x:v>
      </x:c>
      <x:c r="F232" s="2" t="s">
        <x:v>114</x:v>
      </x:c>
      <x:c r="G232" s="2" t="s">
        <x:v>293</x:v>
      </x:c>
      <x:c r="H232" s="2"/>
      <x:c r="I232" s="2" t="s">
        <x:v>31</x:v>
      </x:c>
    </x:row>
    <x:row r="233" ht="37.95000076293945" customHeight="1">
      <x:c r="A233" s="2">
        <x:v>5</x:v>
      </x:c>
      <x:c r="B233" s="2" t="s">
        <x:v>82</x:v>
      </x:c>
      <x:c r="C233" s="2" t="s">
        <x:v>165</x:v>
      </x:c>
      <x:c r="D233" s="2" t="s">
        <x:v>162</x:v>
      </x:c>
      <x:c r="E233" s="2" t="s">
        <x:v>166</x:v>
      </x:c>
      <x:c r="F233" s="2" t="s">
        <x:v>114</x:v>
      </x:c>
      <x:c r="G233" s="2" t="s">
        <x:v>293</x:v>
      </x:c>
      <x:c r="H233" s="2"/>
      <x:c r="I233" s="2" t="s">
        <x:v>31</x:v>
      </x:c>
    </x:row>
    <x:row r="234" ht="37.95000076293945" customHeight="1">
      <x:c r="A234" s="2">
        <x:v>5</x:v>
      </x:c>
      <x:c r="B234" s="2" t="s">
        <x:v>82</x:v>
      </x:c>
      <x:c r="C234" s="2" t="s">
        <x:v>167</x:v>
      </x:c>
      <x:c r="D234" s="2" t="s">
        <x:v>162</x:v>
      </x:c>
      <x:c r="E234" s="2" t="s">
        <x:v>168</x:v>
      </x:c>
      <x:c r="F234" s="2" t="s">
        <x:v>114</x:v>
      </x:c>
      <x:c r="G234" s="2" t="s">
        <x:v>293</x:v>
      </x:c>
      <x:c r="H234" s="2"/>
      <x:c r="I234" s="2" t="s">
        <x:v>31</x:v>
      </x:c>
    </x:row>
    <x:row r="235" ht="37.95000076293945" customHeight="1">
      <x:c r="A235" s="2">
        <x:v>5</x:v>
      </x:c>
      <x:c r="B235" s="2" t="s">
        <x:v>82</x:v>
      </x:c>
      <x:c r="C235" s="2" t="s">
        <x:v>169</x:v>
      </x:c>
      <x:c r="D235" s="2" t="s">
        <x:v>162</x:v>
      </x:c>
      <x:c r="E235" s="2" t="s">
        <x:v>170</x:v>
      </x:c>
      <x:c r="F235" s="2" t="s">
        <x:v>131</x:v>
      </x:c>
      <x:c r="G235" s="2" t="str">
        <x:v>Face stock is incorrectly equated with adhesive behavior</x:v>
      </x:c>
      <x:c r="H235" s="2" t="str">
        <x:v>FZ-B05-02</x:v>
      </x:c>
      <x:c r="I235" s="2" t="s">
        <x:v>31</x:v>
      </x:c>
    </x:row>
    <x:row r="236" ht="37.95000076293945" customHeight="1">
      <x:c r="A236" s="2">
        <x:v>5</x:v>
      </x:c>
      <x:c r="B236" s="2" t="s">
        <x:v>82</x:v>
      </x:c>
      <x:c r="C236" s="2" t="s">
        <x:v>171</x:v>
      </x:c>
      <x:c r="D236" s="2" t="s">
        <x:v>162</x:v>
      </x:c>
      <x:c r="E236" s="2" t="s">
        <x:v>172</x:v>
      </x:c>
      <x:c r="F236" s="2" t="s">
        <x:v>120</x:v>
      </x:c>
      <x:c r="G236" s="2" t="s">
        <x:v>121</x:v>
      </x:c>
      <x:c r="H236" s="2"/>
      <x:c r="I236" s="2" t="s">
        <x:v>31</x:v>
      </x:c>
    </x:row>
    <x:row r="237" ht="37.95000076293945" customHeight="1">
      <x:c r="A237" s="2">
        <x:v>5</x:v>
      </x:c>
      <x:c r="B237" s="2" t="s">
        <x:v>82</x:v>
      </x:c>
      <x:c r="C237" s="2" t="s">
        <x:v>175</x:v>
      </x:c>
      <x:c r="D237" s="2" t="s">
        <x:v>162</x:v>
      </x:c>
      <x:c r="E237" s="2" t="s">
        <x:v>176</x:v>
      </x:c>
      <x:c r="F237" s="2" t="s">
        <x:v>120</x:v>
      </x:c>
      <x:c r="G237" s="2" t="s">
        <x:v>121</x:v>
      </x:c>
      <x:c r="H237" s="2"/>
      <x:c r="I237" s="2" t="s">
        <x:v>31</x:v>
      </x:c>
    </x:row>
    <x:row r="238" ht="37.95000076293945" customHeight="1">
      <x:c r="A238" s="2">
        <x:v>5</x:v>
      </x:c>
      <x:c r="B238" s="2" t="s">
        <x:v>82</x:v>
      </x:c>
      <x:c r="C238" s="2" t="s">
        <x:v>177</x:v>
      </x:c>
      <x:c r="D238" s="2" t="s">
        <x:v>178</x:v>
      </x:c>
      <x:c r="E238" s="2" t="s">
        <x:v>179</x:v>
      </x:c>
      <x:c r="F238" s="2" t="s">
        <x:v>114</x:v>
      </x:c>
      <x:c r="G238" s="2" t="s">
        <x:v>294</x:v>
      </x:c>
      <x:c r="H238" s="2"/>
      <x:c r="I238" s="2" t="s">
        <x:v>31</x:v>
      </x:c>
    </x:row>
    <x:row r="239" ht="37.95000076293945" customHeight="1">
      <x:c r="A239" s="2">
        <x:v>5</x:v>
      </x:c>
      <x:c r="B239" s="2" t="s">
        <x:v>82</x:v>
      </x:c>
      <x:c r="C239" s="2" t="s">
        <x:v>180</x:v>
      </x:c>
      <x:c r="D239" s="2" t="s">
        <x:v>178</x:v>
      </x:c>
      <x:c r="E239" s="2" t="s">
        <x:v>181</x:v>
      </x:c>
      <x:c r="F239" s="2" t="s">
        <x:v>114</x:v>
      </x:c>
      <x:c r="G239" s="2" t="s">
        <x:v>294</x:v>
      </x:c>
      <x:c r="H239" s="2"/>
      <x:c r="I239" s="2" t="s">
        <x:v>31</x:v>
      </x:c>
    </x:row>
    <x:row r="240" ht="37.95000076293945" customHeight="1">
      <x:c r="A240" s="2">
        <x:v>5</x:v>
      </x:c>
      <x:c r="B240" s="2" t="s">
        <x:v>82</x:v>
      </x:c>
      <x:c r="C240" s="2" t="s">
        <x:v>183</x:v>
      </x:c>
      <x:c r="D240" s="2" t="s">
        <x:v>178</x:v>
      </x:c>
      <x:c r="E240" s="2" t="s">
        <x:v>184</x:v>
      </x:c>
      <x:c r="F240" s="2" t="s">
        <x:v>114</x:v>
      </x:c>
      <x:c r="G240" s="2" t="s">
        <x:v>294</x:v>
      </x:c>
      <x:c r="H240" s="2"/>
      <x:c r="I240" s="2" t="s">
        <x:v>31</x:v>
      </x:c>
    </x:row>
    <x:row r="241" ht="37.95000076293945" customHeight="1">
      <x:c r="A241" s="2">
        <x:v>5</x:v>
      </x:c>
      <x:c r="B241" s="2" t="s">
        <x:v>82</x:v>
      </x:c>
      <x:c r="C241" s="2" t="s">
        <x:v>185</x:v>
      </x:c>
      <x:c r="D241" s="2" t="s">
        <x:v>178</x:v>
      </x:c>
      <x:c r="E241" s="2" t="s">
        <x:v>186</x:v>
      </x:c>
      <x:c r="F241" s="2" t="s">
        <x:v>120</x:v>
      </x:c>
      <x:c r="G241" s="2" t="s">
        <x:v>121</x:v>
      </x:c>
      <x:c r="H241" s="2"/>
      <x:c r="I241" s="2" t="s">
        <x:v>31</x:v>
      </x:c>
    </x:row>
    <x:row r="242" ht="37.95000076293945" customHeight="1">
      <x:c r="A242" s="2">
        <x:v>5</x:v>
      </x:c>
      <x:c r="B242" s="2" t="s">
        <x:v>82</x:v>
      </x:c>
      <x:c r="C242" s="2" t="s">
        <x:v>187</x:v>
      </x:c>
      <x:c r="D242" s="2" t="s">
        <x:v>178</x:v>
      </x:c>
      <x:c r="E242" s="2" t="s">
        <x:v>188</x:v>
      </x:c>
      <x:c r="F242" s="2" t="s">
        <x:v>114</x:v>
      </x:c>
      <x:c r="G242" s="2" t="s">
        <x:v>294</x:v>
      </x:c>
      <x:c r="H242" s="2"/>
      <x:c r="I242" s="2" t="s">
        <x:v>31</x:v>
      </x:c>
    </x:row>
    <x:row r="243" ht="37.95000076293945" customHeight="1">
      <x:c r="A243" s="2">
        <x:v>5</x:v>
      </x:c>
      <x:c r="B243" s="2" t="s">
        <x:v>82</x:v>
      </x:c>
      <x:c r="C243" s="2" t="s">
        <x:v>189</x:v>
      </x:c>
      <x:c r="D243" s="2" t="s">
        <x:v>178</x:v>
      </x:c>
      <x:c r="E243" s="2" t="s">
        <x:v>190</x:v>
      </x:c>
      <x:c r="F243" s="2" t="s">
        <x:v>120</x:v>
      </x:c>
      <x:c r="G243" s="2" t="s">
        <x:v>121</x:v>
      </x:c>
      <x:c r="H243" s="2"/>
      <x:c r="I243" s="2" t="s">
        <x:v>31</x:v>
      </x:c>
    </x:row>
    <x:row r="244" ht="37.95000076293945" customHeight="1">
      <x:c r="A244" s="2">
        <x:v>5</x:v>
      </x:c>
      <x:c r="B244" s="2" t="s">
        <x:v>82</x:v>
      </x:c>
      <x:c r="C244" s="2" t="s">
        <x:v>191</x:v>
      </x:c>
      <x:c r="D244" s="2" t="s">
        <x:v>192</x:v>
      </x:c>
      <x:c r="E244" s="2" t="s">
        <x:v>193</x:v>
      </x:c>
      <x:c r="F244" s="2" t="s">
        <x:v>114</x:v>
      </x:c>
      <x:c r="G244" s="2" t="s">
        <x:v>295</x:v>
      </x:c>
      <x:c r="H244" s="2"/>
      <x:c r="I244" s="2" t="s">
        <x:v>31</x:v>
      </x:c>
    </x:row>
    <x:row r="245" ht="37.95000076293945" customHeight="1">
      <x:c r="A245" s="2">
        <x:v>5</x:v>
      </x:c>
      <x:c r="B245" s="2" t="s">
        <x:v>82</x:v>
      </x:c>
      <x:c r="C245" s="2" t="s">
        <x:v>195</x:v>
      </x:c>
      <x:c r="D245" s="2" t="s">
        <x:v>192</x:v>
      </x:c>
      <x:c r="E245" s="2" t="s">
        <x:v>196</x:v>
      </x:c>
      <x:c r="F245" s="2" t="s">
        <x:v>114</x:v>
      </x:c>
      <x:c r="G245" s="2" t="s">
        <x:v>295</x:v>
      </x:c>
      <x:c r="H245" s="2"/>
      <x:c r="I245" s="2" t="s">
        <x:v>31</x:v>
      </x:c>
    </x:row>
    <x:row r="246" ht="37.95000076293945" customHeight="1">
      <x:c r="A246" s="2">
        <x:v>5</x:v>
      </x:c>
      <x:c r="B246" s="2" t="s">
        <x:v>82</x:v>
      </x:c>
      <x:c r="C246" s="2" t="s">
        <x:v>197</x:v>
      </x:c>
      <x:c r="D246" s="2" t="s">
        <x:v>192</x:v>
      </x:c>
      <x:c r="E246" s="2" t="s">
        <x:v>198</x:v>
      </x:c>
      <x:c r="F246" s="2" t="s">
        <x:v>114</x:v>
      </x:c>
      <x:c r="G246" s="2" t="s">
        <x:v>295</x:v>
      </x:c>
      <x:c r="H246" s="2"/>
      <x:c r="I246" s="2" t="s">
        <x:v>31</x:v>
      </x:c>
    </x:row>
    <x:row r="247" ht="37.95000076293945" customHeight="1">
      <x:c r="A247" s="2">
        <x:v>5</x:v>
      </x:c>
      <x:c r="B247" s="2" t="s">
        <x:v>82</x:v>
      </x:c>
      <x:c r="C247" s="2" t="s">
        <x:v>199</x:v>
      </x:c>
      <x:c r="D247" s="2" t="s">
        <x:v>192</x:v>
      </x:c>
      <x:c r="E247" s="2" t="s">
        <x:v>200</x:v>
      </x:c>
      <x:c r="F247" s="2" t="s">
        <x:v>114</x:v>
      </x:c>
      <x:c r="G247" s="2" t="s">
        <x:v>295</x:v>
      </x:c>
      <x:c r="H247" s="2"/>
      <x:c r="I247" s="2" t="s">
        <x:v>31</x:v>
      </x:c>
    </x:row>
    <x:row r="248" ht="37.95000076293945" customHeight="1">
      <x:c r="A248" s="2">
        <x:v>5</x:v>
      </x:c>
      <x:c r="B248" s="2" t="s">
        <x:v>82</x:v>
      </x:c>
      <x:c r="C248" s="2" t="s">
        <x:v>201</x:v>
      </x:c>
      <x:c r="D248" s="2" t="s">
        <x:v>192</x:v>
      </x:c>
      <x:c r="E248" s="2" t="s">
        <x:v>202</x:v>
      </x:c>
      <x:c r="F248" s="2" t="s">
        <x:v>114</x:v>
      </x:c>
      <x:c r="G248" s="2" t="s">
        <x:v>295</x:v>
      </x:c>
      <x:c r="H248" s="2"/>
      <x:c r="I248" s="2" t="s">
        <x:v>31</x:v>
      </x:c>
    </x:row>
    <x:row r="249" ht="37.95000076293945" customHeight="1">
      <x:c r="A249" s="2">
        <x:v>5</x:v>
      </x:c>
      <x:c r="B249" s="2" t="s">
        <x:v>82</x:v>
      </x:c>
      <x:c r="C249" s="2" t="s">
        <x:v>203</x:v>
      </x:c>
      <x:c r="D249" s="2" t="s">
        <x:v>204</x:v>
      </x:c>
      <x:c r="E249" s="2" t="s">
        <x:v>205</x:v>
      </x:c>
      <x:c r="F249" s="2" t="s">
        <x:v>114</x:v>
      </x:c>
      <x:c r="G249" s="2" t="s">
        <x:v>296</x:v>
      </x:c>
      <x:c r="H249" s="2"/>
      <x:c r="I249" s="2" t="s">
        <x:v>31</x:v>
      </x:c>
    </x:row>
    <x:row r="250" ht="37.95000076293945" customHeight="1">
      <x:c r="A250" s="2">
        <x:v>5</x:v>
      </x:c>
      <x:c r="B250" s="2" t="s">
        <x:v>82</x:v>
      </x:c>
      <x:c r="C250" s="2" t="s">
        <x:v>206</x:v>
      </x:c>
      <x:c r="D250" s="2" t="s">
        <x:v>204</x:v>
      </x:c>
      <x:c r="E250" s="2" t="s">
        <x:v>207</x:v>
      </x:c>
      <x:c r="F250" s="2" t="s">
        <x:v>120</x:v>
      </x:c>
      <x:c r="G250" s="2" t="s">
        <x:v>121</x:v>
      </x:c>
      <x:c r="H250" s="2"/>
      <x:c r="I250" s="2" t="s">
        <x:v>31</x:v>
      </x:c>
    </x:row>
    <x:row r="251" ht="37.95000076293945" customHeight="1">
      <x:c r="A251" s="2">
        <x:v>5</x:v>
      </x:c>
      <x:c r="B251" s="2" t="s">
        <x:v>82</x:v>
      </x:c>
      <x:c r="C251" s="2" t="s">
        <x:v>208</x:v>
      </x:c>
      <x:c r="D251" s="2" t="s">
        <x:v>204</x:v>
      </x:c>
      <x:c r="E251" s="2" t="s">
        <x:v>209</x:v>
      </x:c>
      <x:c r="F251" s="2" t="s">
        <x:v>120</x:v>
      </x:c>
      <x:c r="G251" s="2" t="s">
        <x:v>121</x:v>
      </x:c>
      <x:c r="H251" s="2"/>
      <x:c r="I251" s="2" t="s">
        <x:v>31</x:v>
      </x:c>
    </x:row>
    <x:row r="252" ht="37.95000076293945" customHeight="1">
      <x:c r="A252" s="2">
        <x:v>5</x:v>
      </x:c>
      <x:c r="B252" s="2" t="s">
        <x:v>82</x:v>
      </x:c>
      <x:c r="C252" s="2" t="s">
        <x:v>212</x:v>
      </x:c>
      <x:c r="D252" s="2" t="s">
        <x:v>204</x:v>
      </x:c>
      <x:c r="E252" s="2" t="s">
        <x:v>213</x:v>
      </x:c>
      <x:c r="F252" s="2" t="s">
        <x:v>120</x:v>
      </x:c>
      <x:c r="G252" s="2" t="s">
        <x:v>121</x:v>
      </x:c>
      <x:c r="H252" s="2"/>
      <x:c r="I252" s="2" t="s">
        <x:v>31</x:v>
      </x:c>
    </x:row>
    <x:row r="253" ht="37.95000076293945" customHeight="1">
      <x:c r="A253" s="2">
        <x:v>5</x:v>
      </x:c>
      <x:c r="B253" s="2" t="s">
        <x:v>82</x:v>
      </x:c>
      <x:c r="C253" s="2" t="s">
        <x:v>214</x:v>
      </x:c>
      <x:c r="D253" s="2" t="s">
        <x:v>204</x:v>
      </x:c>
      <x:c r="E253" s="2" t="s">
        <x:v>215</x:v>
      </x:c>
      <x:c r="F253" s="2" t="s">
        <x:v>114</x:v>
      </x:c>
      <x:c r="G253" s="2" t="s">
        <x:v>296</x:v>
      </x:c>
      <x:c r="H253" s="2"/>
      <x:c r="I253" s="2" t="s">
        <x:v>31</x:v>
      </x:c>
    </x:row>
    <x:row r="254" ht="37.95000076293945" customHeight="1">
      <x:c r="A254" s="2">
        <x:v>5</x:v>
      </x:c>
      <x:c r="B254" s="2" t="s">
        <x:v>82</x:v>
      </x:c>
      <x:c r="C254" s="2" t="s">
        <x:v>217</x:v>
      </x:c>
      <x:c r="D254" s="2" t="s">
        <x:v>204</x:v>
      </x:c>
      <x:c r="E254" s="2" t="s">
        <x:v>218</x:v>
      </x:c>
      <x:c r="F254" s="2" t="s">
        <x:v>114</x:v>
      </x:c>
      <x:c r="G254" s="2" t="s">
        <x:v>296</x:v>
      </x:c>
      <x:c r="H254" s="2"/>
      <x:c r="I254" s="2" t="s">
        <x:v>31</x:v>
      </x:c>
    </x:row>
    <x:row r="255" ht="37.95000076293945" customHeight="1">
      <x:c r="A255" s="2">
        <x:v>5</x:v>
      </x:c>
      <x:c r="B255" s="2" t="s">
        <x:v>82</x:v>
      </x:c>
      <x:c r="C255" s="2" t="s">
        <x:v>219</x:v>
      </x:c>
      <x:c r="D255" s="2" t="s">
        <x:v>220</x:v>
      </x:c>
      <x:c r="E255" s="2" t="s">
        <x:v>221</x:v>
      </x:c>
      <x:c r="F255" s="2" t="s">
        <x:v>114</x:v>
      </x:c>
      <x:c r="G255" s="2" t="s">
        <x:v>297</x:v>
      </x:c>
      <x:c r="H255" s="2"/>
      <x:c r="I255" s="2" t="s">
        <x:v>31</x:v>
      </x:c>
    </x:row>
    <x:row r="256" ht="37.95000076293945" customHeight="1">
      <x:c r="A256" s="2">
        <x:v>5</x:v>
      </x:c>
      <x:c r="B256" s="2" t="s">
        <x:v>82</x:v>
      </x:c>
      <x:c r="C256" s="2" t="s">
        <x:v>223</x:v>
      </x:c>
      <x:c r="D256" s="2" t="s">
        <x:v>220</x:v>
      </x:c>
      <x:c r="E256" s="2" t="s">
        <x:v>224</x:v>
      </x:c>
      <x:c r="F256" s="2" t="s">
        <x:v>114</x:v>
      </x:c>
      <x:c r="G256" s="2" t="s">
        <x:v>297</x:v>
      </x:c>
      <x:c r="H256" s="2"/>
      <x:c r="I256" s="2" t="s">
        <x:v>31</x:v>
      </x:c>
    </x:row>
    <x:row r="257" ht="37.95000076293945" customHeight="1">
      <x:c r="A257" s="2">
        <x:v>5</x:v>
      </x:c>
      <x:c r="B257" s="2" t="s">
        <x:v>82</x:v>
      </x:c>
      <x:c r="C257" s="2" t="s">
        <x:v>225</x:v>
      </x:c>
      <x:c r="D257" s="2" t="s">
        <x:v>220</x:v>
      </x:c>
      <x:c r="E257" s="2" t="s">
        <x:v>226</x:v>
      </x:c>
      <x:c r="F257" s="2" t="s">
        <x:v>114</x:v>
      </x:c>
      <x:c r="G257" s="2" t="s">
        <x:v>297</x:v>
      </x:c>
      <x:c r="H257" s="2"/>
      <x:c r="I257" s="2" t="s">
        <x:v>31</x:v>
      </x:c>
    </x:row>
    <x:row r="258" ht="37.95000076293945" customHeight="1">
      <x:c r="A258" s="2">
        <x:v>5</x:v>
      </x:c>
      <x:c r="B258" s="2" t="s">
        <x:v>82</x:v>
      </x:c>
      <x:c r="C258" s="2" t="s">
        <x:v>227</x:v>
      </x:c>
      <x:c r="D258" s="2" t="s">
        <x:v>220</x:v>
      </x:c>
      <x:c r="E258" s="2" t="s">
        <x:v>228</x:v>
      </x:c>
      <x:c r="F258" s="2" t="s">
        <x:v>229</x:v>
      </x:c>
      <x:c r="G258" s="2" t="s">
        <x:v>230</x:v>
      </x:c>
      <x:c r="H258" s="2"/>
      <x:c r="I258" s="2" t="s">
        <x:v>31</x:v>
      </x:c>
    </x:row>
    <x:row r="259" ht="37.95000076293945" customHeight="1">
      <x:c r="A259" s="2">
        <x:v>5</x:v>
      </x:c>
      <x:c r="B259" s="2" t="s">
        <x:v>82</x:v>
      </x:c>
      <x:c r="C259" s="2" t="s">
        <x:v>231</x:v>
      </x:c>
      <x:c r="D259" s="2" t="s">
        <x:v>220</x:v>
      </x:c>
      <x:c r="E259" s="2" t="s">
        <x:v>232</x:v>
      </x:c>
      <x:c r="F259" s="2" t="s">
        <x:v>114</x:v>
      </x:c>
      <x:c r="G259" s="2" t="s">
        <x:v>297</x:v>
      </x:c>
      <x:c r="H259" s="2"/>
      <x:c r="I259" s="2" t="s">
        <x:v>31</x:v>
      </x:c>
    </x:row>
    <x:row r="260" ht="37.95000076293945" customHeight="1">
      <x:c r="A260" s="2">
        <x:v>5</x:v>
      </x:c>
      <x:c r="B260" s="2" t="s">
        <x:v>82</x:v>
      </x:c>
      <x:c r="C260" s="2" t="s">
        <x:v>233</x:v>
      </x:c>
      <x:c r="D260" s="2" t="s">
        <x:v>234</x:v>
      </x:c>
      <x:c r="E260" s="2" t="s">
        <x:v>235</x:v>
      </x:c>
      <x:c r="F260" s="2" t="s">
        <x:v>120</x:v>
      </x:c>
      <x:c r="G260" s="2" t="s">
        <x:v>121</x:v>
      </x:c>
      <x:c r="H260" s="2"/>
      <x:c r="I260" s="2" t="s">
        <x:v>31</x:v>
      </x:c>
    </x:row>
    <x:row r="261" ht="37.95000076293945" customHeight="1">
      <x:c r="A261" s="2">
        <x:v>5</x:v>
      </x:c>
      <x:c r="B261" s="2" t="s">
        <x:v>82</x:v>
      </x:c>
      <x:c r="C261" s="2" t="s">
        <x:v>236</x:v>
      </x:c>
      <x:c r="D261" s="2" t="s">
        <x:v>234</x:v>
      </x:c>
      <x:c r="E261" s="2" t="s">
        <x:v>237</x:v>
      </x:c>
      <x:c r="F261" s="2" t="s">
        <x:v>114</x:v>
      </x:c>
      <x:c r="G261" s="2" t="s">
        <x:v>298</x:v>
      </x:c>
      <x:c r="H261" s="2"/>
      <x:c r="I261" s="2" t="s">
        <x:v>31</x:v>
      </x:c>
    </x:row>
    <x:row r="262" ht="37.95000076293945" customHeight="1">
      <x:c r="A262" s="2">
        <x:v>5</x:v>
      </x:c>
      <x:c r="B262" s="2" t="s">
        <x:v>82</x:v>
      </x:c>
      <x:c r="C262" s="2" t="s">
        <x:v>239</x:v>
      </x:c>
      <x:c r="D262" s="2" t="s">
        <x:v>234</x:v>
      </x:c>
      <x:c r="E262" s="2" t="s">
        <x:v>240</x:v>
      </x:c>
      <x:c r="F262" s="2" t="s">
        <x:v>120</x:v>
      </x:c>
      <x:c r="G262" s="2" t="s">
        <x:v>121</x:v>
      </x:c>
      <x:c r="H262" s="2"/>
      <x:c r="I262" s="2" t="s">
        <x:v>31</x:v>
      </x:c>
    </x:row>
    <x:row r="263" ht="37.95000076293945" customHeight="1">
      <x:c r="A263" s="2">
        <x:v>5</x:v>
      </x:c>
      <x:c r="B263" s="2" t="s">
        <x:v>82</x:v>
      </x:c>
      <x:c r="C263" s="2" t="s">
        <x:v>241</x:v>
      </x:c>
      <x:c r="D263" s="2" t="s">
        <x:v>234</x:v>
      </x:c>
      <x:c r="E263" s="2" t="s">
        <x:v>242</x:v>
      </x:c>
      <x:c r="F263" s="2" t="s">
        <x:v>120</x:v>
      </x:c>
      <x:c r="G263" s="2" t="s">
        <x:v>121</x:v>
      </x:c>
      <x:c r="H263" s="2"/>
      <x:c r="I263" s="2" t="s">
        <x:v>31</x:v>
      </x:c>
    </x:row>
    <x:row r="264" ht="37.95000076293945" customHeight="1">
      <x:c r="A264" s="2">
        <x:v>5</x:v>
      </x:c>
      <x:c r="B264" s="2" t="s">
        <x:v>82</x:v>
      </x:c>
      <x:c r="C264" s="2" t="s">
        <x:v>243</x:v>
      </x:c>
      <x:c r="D264" s="2" t="s">
        <x:v>234</x:v>
      </x:c>
      <x:c r="E264" s="2" t="s">
        <x:v>244</x:v>
      </x:c>
      <x:c r="F264" s="2" t="s">
        <x:v>120</x:v>
      </x:c>
      <x:c r="G264" s="2" t="s">
        <x:v>121</x:v>
      </x:c>
      <x:c r="H264" s="2"/>
      <x:c r="I264" s="2" t="s">
        <x:v>31</x:v>
      </x:c>
    </x:row>
    <x:row r="265" ht="37.95000076293945" customHeight="1">
      <x:c r="A265" s="2">
        <x:v>5</x:v>
      </x:c>
      <x:c r="B265" s="2" t="s">
        <x:v>82</x:v>
      </x:c>
      <x:c r="C265" s="2" t="s">
        <x:v>245</x:v>
      </x:c>
      <x:c r="D265" s="2" t="s">
        <x:v>234</x:v>
      </x:c>
      <x:c r="E265" s="2" t="s">
        <x:v>246</x:v>
      </x:c>
      <x:c r="F265" s="2" t="s">
        <x:v>131</x:v>
      </x:c>
      <x:c r="G265" s="2" t="s">
        <x:v>287</x:v>
      </x:c>
      <x:c r="H265" s="2" t="s">
        <x:v>288</x:v>
      </x:c>
      <x:c r="I265" s="2" t="s">
        <x:v>31</x:v>
      </x:c>
    </x:row>
  </x:sheetData>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5" customWidth="1"/>
    <x:col min="2" max="2" width="30" customWidth="1"/>
    <x:col min="3" max="3" width="109" customWidth="1"/>
    <x:col min="4" max="4" width="25" customWidth="1"/>
  </x:cols>
  <x:sheetData>
    <x:row r="1">
      <x:c r="A1" t="s">
        <x:v>299</x:v>
      </x:c>
    </x:row>
    <x:row r="3">
      <x:c r="A3" t="s">
        <x:v>300</x:v>
      </x:c>
    </x:row>
    <x:row r="5" ht="31.950000762939453" customHeight="1">
      <x:c r="A5" s="1" t="s">
        <x:v>34</x:v>
      </x:c>
      <x:c r="B5" s="1" t="s">
        <x:v>301</x:v>
      </x:c>
      <x:c r="C5" s="1" t="s">
        <x:v>302</x:v>
      </x:c>
      <x:c r="D5" s="1" t="s">
        <x:v>100</x:v>
      </x:c>
    </x:row>
    <x:row r="6" ht="60" customHeight="1">
      <x:c r="A6" s="2">
        <x:v>1</x:v>
      </x:c>
      <x:c r="B6" s="2" t="s">
        <x:v>41</x:v>
      </x:c>
      <x:c r="C6" s="2" t="s">
        <x:v>303</x:v>
      </x:c>
      <x:c r="D6" s="2" t="s">
        <x:v>304</x:v>
      </x:c>
    </x:row>
    <x:row r="7" ht="60" customHeight="1">
      <x:c r="A7" s="2">
        <x:v>1</x:v>
      </x:c>
      <x:c r="B7" s="2" t="s">
        <x:v>41</x:v>
      </x:c>
      <x:c r="C7" s="2" t="s">
        <x:v>305</x:v>
      </x:c>
      <x:c r="D7" s="2" t="s">
        <x:v>304</x:v>
      </x:c>
    </x:row>
    <x:row r="8" ht="60" customHeight="1">
      <x:c r="A8" s="2">
        <x:v>1</x:v>
      </x:c>
      <x:c r="B8" s="2" t="s">
        <x:v>41</x:v>
      </x:c>
      <x:c r="C8" s="2" t="s">
        <x:v>306</x:v>
      </x:c>
      <x:c r="D8" s="2" t="s">
        <x:v>304</x:v>
      </x:c>
    </x:row>
    <x:row r="9" ht="60" customHeight="1">
      <x:c r="A9" s="2">
        <x:v>2</x:v>
      </x:c>
      <x:c r="B9" s="2" t="s">
        <x:v>58</x:v>
      </x:c>
      <x:c r="C9" s="2" t="s">
        <x:v>307</x:v>
      </x:c>
      <x:c r="D9" s="2" t="s">
        <x:v>304</x:v>
      </x:c>
    </x:row>
    <x:row r="10" ht="60" customHeight="1">
      <x:c r="A10" s="2">
        <x:v>2</x:v>
      </x:c>
      <x:c r="B10" s="2" t="s">
        <x:v>58</x:v>
      </x:c>
      <x:c r="C10" s="2" t="s">
        <x:v>308</x:v>
      </x:c>
      <x:c r="D10" s="2" t="s">
        <x:v>304</x:v>
      </x:c>
    </x:row>
    <x:row r="11" ht="60" customHeight="1">
      <x:c r="A11" s="2">
        <x:v>2</x:v>
      </x:c>
      <x:c r="B11" s="2" t="s">
        <x:v>58</x:v>
      </x:c>
      <x:c r="C11" s="2" t="s">
        <x:v>309</x:v>
      </x:c>
      <x:c r="D11" s="2" t="s">
        <x:v>304</x:v>
      </x:c>
    </x:row>
    <x:row r="12" ht="60" customHeight="1">
      <x:c r="A12" s="2">
        <x:v>3</x:v>
      </x:c>
      <x:c r="B12" s="2" t="s">
        <x:v>68</x:v>
      </x:c>
      <x:c r="C12" s="2" t="s">
        <x:v>310</x:v>
      </x:c>
      <x:c r="D12" s="2" t="s">
        <x:v>304</x:v>
      </x:c>
    </x:row>
    <x:row r="13" ht="60" customHeight="1">
      <x:c r="A13" s="2">
        <x:v>3</x:v>
      </x:c>
      <x:c r="B13" s="2" t="s">
        <x:v>68</x:v>
      </x:c>
      <x:c r="C13" s="2" t="s">
        <x:v>311</x:v>
      </x:c>
      <x:c r="D13" s="2" t="s">
        <x:v>304</x:v>
      </x:c>
    </x:row>
    <x:row r="14" ht="60" customHeight="1">
      <x:c r="A14" s="2">
        <x:v>3</x:v>
      </x:c>
      <x:c r="B14" s="2" t="s">
        <x:v>68</x:v>
      </x:c>
      <x:c r="C14" s="2" t="s">
        <x:v>312</x:v>
      </x:c>
      <x:c r="D14" s="2" t="s">
        <x:v>304</x:v>
      </x:c>
    </x:row>
    <x:row r="15" ht="60" customHeight="1">
      <x:c r="A15" s="2">
        <x:v>4</x:v>
      </x:c>
      <x:c r="B15" s="2" t="s">
        <x:v>75</x:v>
      </x:c>
      <x:c r="C15" s="2" t="s">
        <x:v>313</x:v>
      </x:c>
      <x:c r="D15" s="2" t="s">
        <x:v>304</x:v>
      </x:c>
    </x:row>
    <x:row r="16" ht="60" customHeight="1">
      <x:c r="A16" s="2">
        <x:v>4</x:v>
      </x:c>
      <x:c r="B16" s="2" t="s">
        <x:v>75</x:v>
      </x:c>
      <x:c r="C16" s="2" t="s">
        <x:v>314</x:v>
      </x:c>
      <x:c r="D16" s="2" t="s">
        <x:v>304</x:v>
      </x:c>
    </x:row>
    <x:row r="17" ht="60" customHeight="1">
      <x:c r="A17" s="2">
        <x:v>4</x:v>
      </x:c>
      <x:c r="B17" s="2" t="s">
        <x:v>75</x:v>
      </x:c>
      <x:c r="C17" s="2" t="s">
        <x:v>315</x:v>
      </x:c>
      <x:c r="D17" s="2" t="s">
        <x:v>304</x:v>
      </x:c>
    </x:row>
    <x:row r="18" ht="60" customHeight="1">
      <x:c r="A18" s="2">
        <x:v>5</x:v>
      </x:c>
      <x:c r="B18" s="2" t="s">
        <x:v>82</x:v>
      </x:c>
      <x:c r="C18" s="2" t="s">
        <x:v>316</x:v>
      </x:c>
      <x:c r="D18" s="2" t="s">
        <x:v>304</x:v>
      </x:c>
    </x:row>
    <x:row r="19" ht="60" customHeight="1">
      <x:c r="A19" s="2">
        <x:v>5</x:v>
      </x:c>
      <x:c r="B19" s="2" t="s">
        <x:v>82</x:v>
      </x:c>
      <x:c r="C19" s="2" t="s">
        <x:v>317</x:v>
      </x:c>
      <x:c r="D19" s="2" t="s">
        <x:v>304</x:v>
      </x:c>
    </x:row>
    <x:row r="20" ht="60" customHeight="1">
      <x:c r="A20" s="2">
        <x:v>5</x:v>
      </x:c>
      <x:c r="B20" s="2" t="s">
        <x:v>82</x:v>
      </x:c>
      <x:c r="C20" s="2" t="s">
        <x:v>318</x:v>
      </x:c>
      <x:c r="D20" s="2" t="s">
        <x:v>304</x:v>
      </x:c>
    </x:row>
    <x:row r="21" ht="60" customHeight="1">
      <x:c r="A21" s="2"/>
      <x:c r="B21" s="2"/>
      <x:c r="C21" s="2"/>
      <x:c r="D21" s="2"/>
    </x:row>
  </x:sheetData>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7" customWidth="1"/>
    <x:col min="2" max="2" width="45" customWidth="1"/>
    <x:col min="3" max="3" width="25" customWidth="1"/>
    <x:col min="4" max="4" width="112" customWidth="1"/>
  </x:cols>
  <x:sheetData>
    <x:row r="1">
      <x:c r="A1" t="s">
        <x:v>319</x:v>
      </x:c>
    </x:row>
    <x:row r="3">
      <x:c r="A3" t="s">
        <x:v>320</x:v>
      </x:c>
    </x:row>
    <x:row r="5" ht="31.950000762939453" customHeight="1">
      <x:c r="A5" s="1" t="s">
        <x:v>95</x:v>
      </x:c>
      <x:c r="B5" s="1" t="s">
        <x:v>321</x:v>
      </x:c>
      <x:c r="C5" s="1" t="s">
        <x:v>322</x:v>
      </x:c>
      <x:c r="D5" s="1" t="s">
        <x:v>323</x:v>
      </x:c>
    </x:row>
    <x:row r="6" ht="88" customHeight="1">
      <x:c r="A6" s="13" t="str">
        <x:v>High</x:v>
      </x:c>
      <x:c r="B6" s="13" t="str">
        <x:v>Verify facts, figures, dates and measurements</x:v>
      </x:c>
      <x:c r="C6" s="13" t="str">
        <x:v>2 / 5</x:v>
      </x:c>
      <x:c r="D6" s="13" t="str">
        <x:v>Check every factual or numerical claim against a credible source before submission. Match the market, geography, units, base year, forecast year and growth rate. Recalculate formulas and examples. For these articles, correct the girth formula, use 1957 for the modern baseball-card size, and verify PSA holder dimensions rather than guessing.</x:v>
      </x:c>
    </x:row>
    <x:row r="7" ht="110" customHeight="1">
      <x:c r="A7" s="13" t="str">
        <x:v>High</x:v>
      </x:c>
      <x:c r="B7" s="13" t="str">
        <x:v>Understand packaging types, materials and their uses</x:v>
      </x:c>
      <x:c r="C7" s="13" t="str">
        <x:v>2 / 5</x:v>
      </x:c>
      <x:c r="D7" s="13" t="str">
        <x:v>Understand the topic before giving buyer advice. Learn the differences between corrugated board, folding-carton paperboard, rigid-box construction, label materials, adhesives, coatings and finishes. For example, penny sleeves are protective sleeves, not boxes, and paper or vinyl does not determine adhesive strength. Incorrect material advice can lead to product damage, failed packaging and costly customer orders. Confirm unfamiliar specifications with the production team.</x:v>
      </x:c>
    </x:row>
    <x:row r="8" ht="115" customHeight="1">
      <x:c r="A8" s="13" t="str">
        <x:v>High</x:v>
      </x:c>
      <x:c r="B8" s="13" t="str">
        <x:v>Avoid unsupported absolute performance promises</x:v>
      </x:c>
      <x:c r="C8" s="13" t="str">
        <x:v>2 / 5; Pantone is a non-penalizing safeguard</x:v>
      </x:c>
      <x:c r="D8" s="13" t="str">
        <x:v>Avoid promises such as 100% color consistency, invulnerable to scratches and fading, or perfect manufacturing in every piece. Describe performance in terms of the material, finish, application and verified production specifications. In Article 3, replace the Pantone guarantee with: Pantone spot colors help maintain consistent brand colors across print runs. Final appearance can vary with the material, finish and production conditions, so approve a physical proof before production.</x:v>
      </x:c>
    </x:row>
    <x:row r="10" ht="25" customHeight="1">
      <x:c r="A10" s="14" t="str">
        <x:v>Exact replacements for the five red findings</x:v>
      </x:c>
      <x:c r="B10" s="14"/>
      <x:c r="C10" s="14"/>
      <x:c r="D10" s="14"/>
    </x:row>
    <x:row r="11" ht="30" customHeight="1">
      <x:c r="A11" s="1" t="str">
        <x:v>No.</x:v>
      </x:c>
      <x:c r="B11" s="1" t="str">
        <x:v>Exact wording from the article</x:v>
      </x:c>
      <x:c r="C11" s="1"/>
      <x:c r="D11" s="1" t="str">
        <x:v>Replace with</x:v>
      </x:c>
    </x:row>
    <x:row r="12" ht="55" customHeight="1">
      <x:c r="A12" s="16" t="n">
        <x:v>1</x:v>
      </x:c>
      <x:c r="B12" s="13" t="str">
        <x:v>Article 1 · Girth formula
“Box Girth = 2 × Width + Height”</x:v>
      </x:c>
      <x:c r="C12" s="13"/>
      <x:c r="D12" s="13" t="str">
        <x:v>Box Girth = 2 × (Width + Height)</x:v>
      </x:c>
    </x:row>
    <x:row r="13" ht="100" customHeight="1">
      <x:c r="A13" s="16" t="n">
        <x:v>2</x:v>
      </x:c>
      <x:c r="B13" s="13" t="str">
        <x:v>Article 2 · History and size chart
Timeline year: “1952”
Following sentence: “Ever since 1952”
Standard-size chart: “1952 to present, all major brands”</x:v>
      </x:c>
      <x:c r="C13" s="13"/>
      <x:c r="D13" s="13" t="str">
        <x:v>Timeline year: 1957
Following sentence: Ever since 1957
Standard-size chart: 1957 to present; standard modern format</x:v>
      </x:c>
    </x:row>
    <x:row r="14" ht="104" customHeight="1">
      <x:c r="A14" s="16" t="n">
        <x:v>3</x:v>
      </x:c>
      <x:c r="B14" s="13" t="str">
        <x:v>Article 2 · PSA slab dimensions
Table cell: “.2 × 5.3 × 0.25”</x:v>
      </x:c>
      <x:c r="C14" s="13"/>
      <x:c r="D14" s="13" t="str">
        <x:v>3.2 × 5.3 × 0.25
This corrects the missing digit to match the approximate measurement already stated later in the article. Confirm the actual holder dimensions before ordering fitted packaging.</x:v>
      </x:c>
    </x:row>
    <x:row r="15" ht="70" customHeight="1">
      <x:c r="A15" s="16" t="n">
        <x:v>4</x:v>
      </x:c>
      <x:c r="B15" s="13" t="str">
        <x:v>Article 5 · Vinyl durability
“Vinyl stickers are invulnerable to scratches and fading.”</x:v>
      </x:c>
      <x:c r="C15" s="13"/>
      <x:c r="D15" s="13" t="str">
        <x:v>Outdoor-rated vinyl stickers can resist scratches and fading, but their durability depends on the ink, protective laminate and exposure conditions.</x:v>
      </x:c>
    </x:row>
    <x:row r="16" ht="75" customHeight="1">
      <x:c r="A16" s="16" t="n">
        <x:v>5</x:v>
      </x:c>
      <x:c r="B16" s="13" t="str">
        <x:v>Article 5 · Adhesive selection
“Paper stickers use an average or temporary adhesive.”</x:v>
      </x:c>
      <x:c r="C16" s="13"/>
      <x:c r="D16" s="13" t="str">
        <x:v>Paper and vinyl stickers can both use permanent, removable or specialty adhesives. Choose the adhesive separately from the face material to suit the surface and intended use.</x:v>
      </x:c>
    </x:row>
    <x:row r="18" ht="30" customHeight="1">
      <x:c r="A18" s="12" t="str">
        <x:v>Five distinct red issues, numbered once each. Apply date fixes at all three locations. Pantone guidance is above and carries no scoring penalty.</x:v>
      </x:c>
      <x:c r="B18" s="12"/>
      <x:c r="C18" s="12"/>
      <x:c r="D18" s="12"/>
    </x:row>
  </x:sheetData>
  <x:mergeCells>
    <x:mergeCell ref="A10:D10"/>
    <x:mergeCell ref="B11:C11"/>
    <x:mergeCell ref="B12:C12"/>
    <x:mergeCell ref="B13:C13"/>
    <x:mergeCell ref="B14:C14"/>
    <x:mergeCell ref="B15:C15"/>
    <x:mergeCell ref="B16:C16"/>
    <x:mergeCell ref="A18:D18"/>
  </x:mergeCell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45" customWidth="1"/>
    <x:col min="2" max="2" width="32" customWidth="1"/>
    <x:col min="3" max="3" width="56" customWidth="1"/>
    <x:col min="4" max="4" width="80" customWidth="1"/>
    <x:col min="5" max="5" width="74" customWidth="1"/>
  </x:cols>
  <x:sheetData>
    <x:row r="1">
      <x:c r="A1" t="s">
        <x:v>324</x:v>
      </x:c>
    </x:row>
    <x:row r="3">
      <x:c r="A3" t="s">
        <x:v>325</x:v>
      </x:c>
    </x:row>
    <x:row r="5" ht="31.950000762939453" customHeight="1">
      <x:c r="A5" s="1" t="s">
        <x:v>326</x:v>
      </x:c>
      <x:c r="B5" s="1" t="s">
        <x:v>327</x:v>
      </x:c>
      <x:c r="C5" s="1" t="s">
        <x:v>328</x:v>
      </x:c>
      <x:c r="D5" s="1" t="s">
        <x:v>329</x:v>
      </x:c>
      <x:c r="E5" s="1" t="s">
        <x:v>330</x:v>
      </x:c>
    </x:row>
    <x:row r="6" ht="60" customHeight="1">
      <x:c r="A6" s="2" t="s">
        <x:v>114</x:v>
      </x:c>
      <x:c r="B6" s="2" t="s">
        <x:v>331</x:v>
      </x:c>
      <x:c r="C6" s="2" t="s">
        <x:v>332</x:v>
      </x:c>
      <x:c r="D6" s="2" t="s">
        <x:v>333</x:v>
      </x:c>
      <x:c r="E6" s="2" t="s">
        <x:v>334</x:v>
      </x:c>
    </x:row>
    <x:row r="7" ht="60" customHeight="1">
      <x:c r="A7" s="2" t="s">
        <x:v>120</x:v>
      </x:c>
      <x:c r="B7" s="2" t="s">
        <x:v>335</x:v>
      </x:c>
      <x:c r="C7" s="2" t="s">
        <x:v>332</x:v>
      </x:c>
      <x:c r="D7" s="2" t="s">
        <x:v>336</x:v>
      </x:c>
      <x:c r="E7" s="2" t="s">
        <x:v>337</x:v>
      </x:c>
    </x:row>
    <x:row r="8" ht="60" customHeight="1">
      <x:c r="A8" s="2" t="s">
        <x:v>137</x:v>
      </x:c>
      <x:c r="B8" s="2" t="s">
        <x:v>338</x:v>
      </x:c>
      <x:c r="C8" s="2" t="s">
        <x:v>339</x:v>
      </x:c>
      <x:c r="D8" s="2" t="s">
        <x:v>340</x:v>
      </x:c>
      <x:c r="E8" s="2" t="s">
        <x:v>341</x:v>
      </x:c>
    </x:row>
    <x:row r="9" ht="60" customHeight="1">
      <x:c r="A9" s="2" t="s">
        <x:v>131</x:v>
      </x:c>
      <x:c r="B9" s="2" t="str">
        <x:v>Verified material technical or factual error, or serious deficiency. Absolute wording alone is not an automatic FAIL; apply approved safeguards.</x:v>
      </x:c>
      <x:c r="C9" s="2" t="s">
        <x:v>342</x:v>
      </x:c>
      <x:c r="D9" s="2" t="s">
        <x:v>343</x:v>
      </x:c>
      <x:c r="E9" s="2" t="s">
        <x:v>344</x:v>
      </x:c>
    </x:row>
    <x:row r="10" ht="60" customHeight="1">
      <x:c r="A10" s="2" t="s">
        <x:v>210</x:v>
      </x:c>
      <x:c r="B10" s="2" t="s">
        <x:v>345</x:v>
      </x:c>
      <x:c r="C10" s="2" t="s">
        <x:v>346</x:v>
      </x:c>
      <x:c r="D10" s="2" t="s">
        <x:v>347</x:v>
      </x:c>
      <x:c r="E10" s="2" t="s">
        <x:v>348</x:v>
      </x:c>
    </x:row>
    <x:row r="11" ht="60" customHeight="1">
      <x:c r="A11" s="2" t="s">
        <x:v>229</x:v>
      </x:c>
      <x:c r="B11" s="2" t="s">
        <x:v>349</x:v>
      </x:c>
      <x:c r="C11" s="2" t="s">
        <x:v>350</x:v>
      </x:c>
      <x:c r="D11" s="2" t="s">
        <x:v>351</x:v>
      </x:c>
      <x:c r="E11" s="2" t="s">
        <x:v>352</x:v>
      </x:c>
    </x:row>
    <x:row r="12" ht="60" customHeight="1">
      <x:c r="A12" s="2"/>
      <x:c r="B12" s="2"/>
      <x:c r="C12" s="2"/>
      <x:c r="D12" s="2"/>
      <x:c r="E12" s="2"/>
    </x:row>
    <x:row r="13" ht="60" customHeight="1">
      <x:c r="A13" s="2"/>
      <x:c r="B13" s="2"/>
      <x:c r="C13" s="2"/>
      <x:c r="D13" s="2"/>
      <x:c r="E13" s="2"/>
    </x:row>
    <x:row r="14" ht="60" customHeight="1">
      <x:c r="A14" s="2" t="s">
        <x:v>35</x:v>
      </x:c>
      <x:c r="B14" s="2" t="s">
        <x:v>353</x:v>
      </x:c>
      <x:c r="C14" s="2" t="s">
        <x:v>354</x:v>
      </x:c>
      <x:c r="D14" s="2" t="s">
        <x:v>355</x:v>
      </x:c>
      <x:c r="E14" s="2" t="s">
        <x:v>356</x:v>
      </x:c>
    </x:row>
    <x:row r="15" ht="60" customHeight="1">
      <x:c r="A15" s="2" t="s">
        <x:v>42</x:v>
      </x:c>
      <x:c r="B15" s="2">
        <x:v>15</x:v>
      </x:c>
      <x:c r="C15" s="2" t="s">
        <x:v>357</x:v>
      </x:c>
      <x:c r="D15" s="2" t="s">
        <x:v>358</x:v>
      </x:c>
      <x:c r="E15" s="2" t="s">
        <x:v>359</x:v>
      </x:c>
    </x:row>
    <x:row r="16" ht="60" customHeight="1">
      <x:c r="A16" s="2" t="s">
        <x:v>44</x:v>
      </x:c>
      <x:c r="B16" s="2">
        <x:v>15</x:v>
      </x:c>
      <x:c r="C16" s="2" t="s">
        <x:v>357</x:v>
      </x:c>
      <x:c r="D16" s="2" t="s">
        <x:v>358</x:v>
      </x:c>
      <x:c r="E16" s="2" t="s">
        <x:v>359</x:v>
      </x:c>
    </x:row>
    <x:row r="17" ht="60" customHeight="1">
      <x:c r="A17" s="2" t="s">
        <x:v>46</x:v>
      </x:c>
      <x:c r="B17" s="2">
        <x:v>20</x:v>
      </x:c>
      <x:c r="C17" s="2" t="s">
        <x:v>357</x:v>
      </x:c>
      <x:c r="D17" s="2" t="s">
        <x:v>358</x:v>
      </x:c>
      <x:c r="E17" s="2" t="s">
        <x:v>359</x:v>
      </x:c>
    </x:row>
    <x:row r="18" ht="60" customHeight="1">
      <x:c r="A18" s="2" t="s">
        <x:v>48</x:v>
      </x:c>
      <x:c r="B18" s="2">
        <x:v>15</x:v>
      </x:c>
      <x:c r="C18" s="2" t="s">
        <x:v>357</x:v>
      </x:c>
      <x:c r="D18" s="2" t="s">
        <x:v>358</x:v>
      </x:c>
      <x:c r="E18" s="2" t="s">
        <x:v>359</x:v>
      </x:c>
    </x:row>
    <x:row r="19" ht="60" customHeight="1">
      <x:c r="A19" s="2" t="s">
        <x:v>50</x:v>
      </x:c>
      <x:c r="B19" s="2">
        <x:v>10</x:v>
      </x:c>
      <x:c r="C19" s="2" t="s">
        <x:v>357</x:v>
      </x:c>
      <x:c r="D19" s="2" t="s">
        <x:v>358</x:v>
      </x:c>
      <x:c r="E19" s="2" t="s">
        <x:v>359</x:v>
      </x:c>
    </x:row>
    <x:row r="20" ht="60" customHeight="1">
      <x:c r="A20" s="2" t="s">
        <x:v>52</x:v>
      </x:c>
      <x:c r="B20" s="2">
        <x:v>10</x:v>
      </x:c>
      <x:c r="C20" s="2" t="s">
        <x:v>357</x:v>
      </x:c>
      <x:c r="D20" s="2" t="s">
        <x:v>358</x:v>
      </x:c>
      <x:c r="E20" s="2" t="s">
        <x:v>359</x:v>
      </x:c>
    </x:row>
    <x:row r="21" ht="60" customHeight="1">
      <x:c r="A21" s="2" t="s">
        <x:v>54</x:v>
      </x:c>
      <x:c r="B21" s="2">
        <x:v>10</x:v>
      </x:c>
      <x:c r="C21" s="2" t="s">
        <x:v>357</x:v>
      </x:c>
      <x:c r="D21" s="2" t="s">
        <x:v>358</x:v>
      </x:c>
      <x:c r="E21" s="2" t="s">
        <x:v>359</x:v>
      </x:c>
    </x:row>
    <x:row r="22" ht="60" customHeight="1">
      <x:c r="A22" s="2" t="s">
        <x:v>56</x:v>
      </x:c>
      <x:c r="B22" s="2">
        <x:v>5</x:v>
      </x:c>
      <x:c r="C22" s="2" t="s">
        <x:v>357</x:v>
      </x:c>
      <x:c r="D22" s="2" t="s">
        <x:v>358</x:v>
      </x:c>
      <x:c r="E22" s="2" t="s">
        <x:v>359</x:v>
      </x:c>
    </x:row>
    <x:row r="23" ht="60" customHeight="1">
      <x:c r="A23" s="2"/>
      <x:c r="B23" s="2"/>
      <x:c r="C23" s="2"/>
      <x:c r="D23" s="2"/>
      <x:c r="E23" s="2"/>
    </x:row>
    <x:row r="24" ht="60" customHeight="1">
      <x:c r="A24" s="2"/>
      <x:c r="B24" s="2"/>
      <x:c r="C24" s="2"/>
      <x:c r="D24" s="2"/>
      <x:c r="E24" s="2"/>
    </x:row>
    <x:row r="25" ht="60" customHeight="1">
      <x:c r="A25" s="2" t="s">
        <x:v>360</x:v>
      </x:c>
      <x:c r="B25" s="2"/>
      <x:c r="C25" s="2"/>
      <x:c r="D25" s="2"/>
      <x:c r="E25" s="2"/>
    </x:row>
    <x:row r="26" ht="60" customHeight="1">
      <x:c r="A26" s="2" t="s">
        <x:v>361</x:v>
      </x:c>
      <x:c r="B26" s="2" t="s">
        <x:v>362</x:v>
      </x:c>
      <x:c r="C26" s="2"/>
      <x:c r="D26" s="2"/>
      <x:c r="E26" s="2"/>
    </x:row>
    <x:row r="27" ht="60" customHeight="1">
      <x:c r="A27" s="2" t="s">
        <x:v>363</x:v>
      </x:c>
      <x:c r="B27" s="2" t="s">
        <x:v>364</x:v>
      </x:c>
      <x:c r="C27" s="2"/>
      <x:c r="D27" s="2"/>
      <x:c r="E27" s="2"/>
    </x:row>
    <x:row r="28" ht="60" customHeight="1">
      <x:c r="A28" s="2" t="s">
        <x:v>365</x:v>
      </x:c>
      <x:c r="B28" s="2" t="s">
        <x:v>366</x:v>
      </x:c>
      <x:c r="C28" s="2"/>
      <x:c r="D28" s="2"/>
      <x:c r="E28" s="2"/>
    </x:row>
    <x:row r="29" ht="60" customHeight="1">
      <x:c r="A29" s="2" t="s">
        <x:v>367</x:v>
      </x:c>
      <x:c r="B29" s="2" t="s">
        <x:v>368</x:v>
      </x:c>
      <x:c r="C29" s="2"/>
      <x:c r="D29" s="2"/>
      <x:c r="E29" s="2"/>
    </x:row>
    <x:row r="30" ht="60" customHeight="1">
      <x:c r="A30" s="2" t="s">
        <x:v>369</x:v>
      </x:c>
      <x:c r="B30" s="2" t="s">
        <x:v>370</x:v>
      </x:c>
      <x:c r="C30" s="2"/>
      <x:c r="D30" s="2"/>
      <x:c r="E30" s="2"/>
    </x:row>
    <x:row r="31" ht="60" customHeight="1">
      <x:c r="A31" s="2"/>
      <x:c r="B31" s="2"/>
      <x:c r="C31" s="2"/>
      <x:c r="D31" s="2"/>
      <x:c r="E31" s="2"/>
    </x:row>
    <x:row r="32" ht="60" customHeight="1">
      <x:c r="A32" s="2" t="s">
        <x:v>371</x:v>
      </x:c>
      <x:c r="B32" s="2"/>
      <x:c r="C32" s="2"/>
      <x:c r="D32" s="2"/>
      <x:c r="E32" s="2"/>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9" customWidth="1"/>
    <x:col min="2" max="3" width="28" customWidth="1"/>
    <x:col min="4" max="4" width="99" customWidth="1"/>
    <x:col min="5" max="5" width="104" customWidth="1"/>
    <x:col min="6" max="6" width="70" customWidth="1"/>
  </x:cols>
  <x:sheetData>
    <x:row r="1" ht="31.950000762939453" customHeight="1">
      <x:c r="A1" s="1" t="s">
        <x:v>372</x:v>
      </x:c>
      <x:c r="B1" s="1" t="s">
        <x:v>373</x:v>
      </x:c>
      <x:c r="C1" s="1" t="s">
        <x:v>374</x:v>
      </x:c>
      <x:c r="D1" s="1" t="s">
        <x:v>375</x:v>
      </x:c>
      <x:c r="E1" s="1" t="s">
        <x:v>376</x:v>
      </x:c>
      <x:c r="F1" s="1" t="s">
        <x:v>377</x:v>
      </x:c>
    </x:row>
    <x:row r="2" ht="60" customHeight="1">
      <x:c r="A2" s="2" t="s">
        <x:v>378</x:v>
      </x:c>
      <x:c r="B2" s="2" t="s">
        <x:v>379</x:v>
      </x:c>
      <x:c r="C2" s="2" t="s">
        <x:v>120</x:v>
      </x:c>
      <x:c r="D2" s="2" t="s">
        <x:v>380</x:v>
      </x:c>
      <x:c r="E2" s="2" t="s">
        <x:v>381</x:v>
      </x:c>
      <x:c r="F2" s="2" t="s">
        <x:v>362</x:v>
      </x:c>
    </x:row>
    <x:row r="3" ht="60" customHeight="1">
      <x:c r="A3" s="2" t="s">
        <x:v>382</x:v>
      </x:c>
      <x:c r="B3" s="2" t="s">
        <x:v>379</x:v>
      </x:c>
      <x:c r="C3" s="2" t="s">
        <x:v>120</x:v>
      </x:c>
      <x:c r="D3" s="2" t="s">
        <x:v>383</x:v>
      </x:c>
      <x:c r="E3" s="2" t="s">
        <x:v>384</x:v>
      </x:c>
      <x:c r="F3" s="2" t="s">
        <x:v>385</x:v>
      </x:c>
    </x:row>
    <x:row r="4" ht="60" customHeight="1">
      <x:c r="A4" s="2" t="s">
        <x:v>386</x:v>
      </x:c>
      <x:c r="B4" s="2" t="s">
        <x:v>379</x:v>
      </x:c>
      <x:c r="C4" s="2" t="s">
        <x:v>120</x:v>
      </x:c>
      <x:c r="D4" s="2" t="s">
        <x:v>387</x:v>
      </x:c>
      <x:c r="E4" s="2" t="s">
        <x:v>388</x:v>
      </x:c>
      <x:c r="F4" s="2" t="s">
        <x:v>364</x:v>
      </x:c>
    </x:row>
    <x:row r="5" ht="60" customHeight="1">
      <x:c r="A5" s="2" t="s">
        <x:v>45</x:v>
      </x:c>
      <x:c r="B5" s="2" t="s">
        <x:v>389</x:v>
      </x:c>
      <x:c r="C5" s="2" t="s">
        <x:v>131</x:v>
      </x:c>
      <x:c r="D5" s="2" t="s">
        <x:v>390</x:v>
      </x:c>
      <x:c r="E5" s="2" t="s">
        <x:v>391</x:v>
      </x:c>
      <x:c r="F5" s="2" t="s">
        <x:v>26</x:v>
      </x:c>
    </x:row>
    <x:row r="6" ht="60" customHeight="1">
      <x:c r="A6" s="2" t="s">
        <x:v>392</x:v>
      </x:c>
      <x:c r="B6" s="2" t="s">
        <x:v>58</x:v>
      </x:c>
      <x:c r="C6" s="2" t="s">
        <x:v>131</x:v>
      </x:c>
      <x:c r="D6" s="2" t="s">
        <x:v>393</x:v>
      </x:c>
      <x:c r="E6" s="2" t="s">
        <x:v>394</x:v>
      </x:c>
      <x:c r="F6" s="2" t="s">
        <x:v>366</x:v>
      </x:c>
    </x:row>
    <x:row r="7" ht="60" customHeight="1">
      <x:c r="A7" s="2" t="s">
        <x:v>395</x:v>
      </x:c>
      <x:c r="B7" s="2" t="s">
        <x:v>68</x:v>
      </x:c>
      <x:c r="C7" s="2" t="str">
        <x:v>ACCEPTABLE</x:v>
      </x:c>
      <x:c r="D7" s="2" t="str">
        <x:v>Retain Pantone wording in Mini Guide as a non-penalizing safeguard</x:v>
      </x:c>
      <x:c r="E7" s="2" t="str">
        <x:v>Apply the same absolute-claim safeguard used for Hassan. Qualify 100% consistency; no automatic writer FAIL or scoring deduction.</x:v>
      </x:c>
      <x:c r="F7" s="2" t="s">
        <x:v>29</x:v>
      </x:c>
    </x:row>
    <x:row r="8" ht="60" customHeight="1">
      <x:c r="A8" s="2" t="s">
        <x:v>396</x:v>
      </x:c>
      <x:c r="B8" s="2" t="s">
        <x:v>75</x:v>
      </x:c>
      <x:c r="C8" s="2" t="s">
        <x:v>120</x:v>
      </x:c>
      <x:c r="D8" s="2" t="s">
        <x:v>397</x:v>
      </x:c>
      <x:c r="E8" s="2" t="s">
        <x:v>398</x:v>
      </x:c>
      <x:c r="F8" s="2" t="s">
        <x:v>30</x:v>
      </x:c>
    </x:row>
    <x:row r="9" ht="60" customHeight="1">
      <x:c r="A9" s="2" t="s">
        <x:v>399</x:v>
      </x:c>
      <x:c r="B9" s="2" t="s">
        <x:v>400</x:v>
      </x:c>
      <x:c r="C9" s="2" t="s">
        <x:v>401</x:v>
      </x:c>
      <x:c r="D9" s="2" t="s">
        <x:v>402</x:v>
      </x:c>
      <x:c r="E9" s="2" t="s">
        <x:v>403</x:v>
      </x:c>
      <x:c r="F9" s="2" t="s">
        <x:v>404</x:v>
      </x:c>
    </x:row>
    <x:row r="10" ht="85" customHeight="1">
      <x:c r="A10" s="2" t="str">
        <x:v>FZ-B03-02</x:v>
      </x:c>
      <x:c r="B10" s="2" t="str">
        <x:v>Christmas packaging</x:v>
      </x:c>
      <x:c r="C10" s="2" t="str">
        <x:v>ACCEPTABLE</x:v>
      </x:c>
      <x:c r="D10" s="2" t="str">
        <x:v>Remove ink criticism and penalty</x:v>
      </x:c>
      <x:c r="E10" s="2" t="str">
        <x:v>“Help make packaging recyclable” describes a contribution. It does not claim ink alone guarantees recyclability. Do not reintroduce the rejected interpretation.</x:v>
      </x:c>
      <x:c r="F10" s="2" t="str">
        <x:v>https://print247.us/post/christmas-packaging-with-your-brand-logo</x:v>
      </x:c>
    </x:row>
    <x:row r="11" ht="85" customHeight="1">
      <x:c r="A11" s="2" t="str">
        <x:v>FZ-B04-02</x:v>
      </x:c>
      <x:c r="B11" s="2" t="str">
        <x:v>Invitation card types</x:v>
      </x:c>
      <x:c r="C11" s="2" t="str">
        <x:v>ACCEPTABLE</x:v>
      </x:c>
      <x:c r="D11" s="2" t="str">
        <x:v>Remove RSVP taxonomy criticism and penalty</x:v>
      </x:c>
      <x:c r="E11" s="2" t="str">
        <x:v>RSVP may be listed as the fifth type. Its role alongside the invitation is explained; no required heading or classification change.</x:v>
      </x:c>
      <x:c r="F11" s="2" t="str">
        <x:v>https://print247.us/post/different-types-of-invitation-cards</x:v>
      </x:c>
    </x:row>
    <x:row r="12" ht="85" customHeight="1">
      <x:c r="A12" s="2" t="str">
        <x:v>FZ-TRAINING</x:v>
      </x:c>
      <x:c r="B12" s="2" t="str">
        <x:v>All five articles</x:v>
      </x:c>
      <x:c r="C12" s="2" t="str">
        <x:v>TRAINING</x:v>
      </x:c>
      <x:c r="D12" s="2" t="str">
        <x:v>Verify facts and develop packaging-material knowledge</x:v>
      </x:c>
      <x:c r="E12" s="2" t="str">
        <x:v>Check facts and figures against sources. Understand packaging construction, materials, adhesives and finishes before advising buyers; incorrect specifications can lead to product damage and costly orders.</x:v>
      </x:c>
      <x:c r="F12" s="2" t="str">
        <x:v>Mini Guide</x:v>
      </x:c>
    </x:row>
    <x:row r="13" ht="85" customHeight="1">
      <x:c r="A13" s="2" t="str">
        <x:v>FZ-B01-02</x:v>
      </x:c>
      <x:c r="B13" s="2" t="str">
        <x:v>Cardboard dimensions</x:v>
      </x:c>
      <x:c r="C13" s="2" t="str">
        <x:v>ACCEPTABLE</x:v>
      </x:c>
      <x:c r="D13" s="2" t="str">
        <x:v>Preserve removal of terminology criticism</x:v>
      </x:c>
      <x:c r="E13" s="2" t="str">
        <x:v>Removed in the manager-edited workbook. No separate penalty for this finding; the incorrect girth formula remains.</x:v>
      </x:c>
      <x:c r="F13" s="2" t="str">
        <x:v>https://print247.us/post/how-to-measure-cardboard-box-dimensions</x:v>
      </x:c>
    </x:row>
    <x:row r="14" ht="85" customHeight="1">
      <x:c r="A14" s="2" t="str">
        <x:v>FZ-B04-01</x:v>
      </x:c>
      <x:c r="B14" s="2" t="str">
        <x:v>Invitation card types</x:v>
      </x:c>
      <x:c r="C14" s="2" t="str">
        <x:v>ACCEPTABLE</x:v>
      </x:c>
      <x:c r="D14" s="2" t="str">
        <x:v>Preserve removal of folded-card pocket criticism</x:v>
      </x:c>
      <x:c r="E14" s="2" t="str">
        <x:v>Removed in the manager-edited workbook. Remove related checklist penalties and the dimension rationale.</x:v>
      </x:c>
      <x:c r="F14" s="2" t="str">
        <x:v>https://print247.us/post/different-types-of-invitation-cards</x:v>
      </x:c>
    </x:row>
    <x:row r="15" ht="85" customHeight="1">
      <x:c r="A15" s="2" t="str">
        <x:v>FZ-B05-04</x:v>
      </x:c>
      <x:c r="B15" s="2" t="str">
        <x:v>Vinyl vs. paper stickers</x:v>
      </x:c>
      <x:c r="C15" s="2" t="str">
        <x:v>ACCEPTABLE</x:v>
      </x:c>
      <x:c r="D15" s="2" t="str">
        <x:v>Preserve removal of print-sharpness criticism</x:v>
      </x:c>
      <x:c r="E15" s="2" t="str">
        <x:v>Removed in the manager-edited workbook. Retain only the separate adhesive, durability and recyclability findings.</x:v>
      </x:c>
      <x:c r="F15" s="2" t="str">
        <x:v>https://print247.us/post/printable-vinyl-for-stickers-vs-paper-stickers</x:v>
      </x:c>
    </x:row>
    <x:row r="16" ht="85" customHeight="1">
      <x:c r="A16" s="2" t="str">
        <x:v>FZ-B02-02</x:v>
      </x:c>
      <x:c r="B16" s="2" t="str">
        <x:v>Baseball card sizes</x:v>
      </x:c>
      <x:c r="C16" s="2" t="str">
        <x:v>FAIL</x:v>
      </x:c>
      <x:c r="D16" s="2" t="str">
        <x:v>Apply the manager’s PSA table typo correction</x:v>
      </x:c>
      <x:c r="E16" s="2" t="str">
        <x:v>Replace .2 with 3.2 to match the approximate dimensions already given in the article. This is an internal consistency correction, not independent verification of every PSA holder.</x:v>
      </x:c>
      <x:c r="F16" s="2" t="str">
        <x:v>https://print247.us/post/standard-baseball-card-sizes-all-dimensions-in-inches-cm-mm</x:v>
      </x:c>
    </x:row>
  </x:sheetData>
  <x:pageMargins left="0.7" right="0.7" top="0.75" bottom="0.75" header="0.3" footer="0.3"/>
</x:worksheet>
</file>