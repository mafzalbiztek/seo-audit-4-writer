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e406e1632842ec" /></Relationships>
</file>

<file path=xl/workbook.xml><?xml version="1.0" encoding="utf-8"?>
<x:workbook xmlns:x="http://schemas.openxmlformats.org/spreadsheetml/2006/main">
  <x:sheets>
    <x:sheet xmlns:r="http://schemas.openxmlformats.org/officeDocument/2006/relationships" name="Executive" sheetId="1" r:id="Ra71a975d95334e84"/>
    <x:sheet xmlns:r="http://schemas.openxmlformats.org/officeDocument/2006/relationships" name="Article Scores" sheetId="2" r:id="R6ef044f9bbed47c3"/>
    <x:sheet xmlns:r="http://schemas.openxmlformats.org/officeDocument/2006/relationships" name="8 Dimensions" sheetId="3" r:id="Re8d5db9187f748f8"/>
    <x:sheet xmlns:r="http://schemas.openxmlformats.org/officeDocument/2006/relationships" name="Issues" sheetId="4" r:id="Rd27c1058559545f3"/>
    <x:sheet xmlns:r="http://schemas.openxmlformats.org/officeDocument/2006/relationships" name="Criteria 260" sheetId="5" r:id="R4b49e7a2af424d66"/>
    <x:sheet xmlns:r="http://schemas.openxmlformats.org/officeDocument/2006/relationships" name="Strengths" sheetId="6" r:id="Rf9cd1943363a4ba2"/>
    <x:sheet xmlns:r="http://schemas.openxmlformats.org/officeDocument/2006/relationships" name="Mini Guide" sheetId="7" r:id="Rf20398ee265b4b7a"/>
    <x:sheet xmlns:r="http://schemas.openxmlformats.org/officeDocument/2006/relationships" name="Methodology" sheetId="8" r:id="R7836466e121c4e30"/>
    <x:sheet xmlns:r="http://schemas.openxmlformats.org/officeDocument/2006/relationships" name="Manager Decisions" sheetId="9" r:id="Rdb6670172be54285"/>
  </x:sheets>
</x:workbook>
</file>

<file path=xl/sharedStrings.xml><?xml version="1.0" encoding="utf-8"?>
<x:sst xmlns:x="http://schemas.openxmlformats.org/spreadsheetml/2006/main">
  <x:si>
    <x:t xml:space="preserve">PRINT247  |  MOHSIN CONTENT EVALUATION</x:t>
  </x:si>
  <x:si>
    <x:t xml:space="preserve">Current writer score</x:t>
  </x:si>
  <x:si>
    <x:t xml:space="preserve">Articles evaluated</x:t>
  </x:si>
  <x:si>
    <x:t xml:space="preserve">Proposed minimum*</x:t>
  </x:si>
  <x:si>
    <x:t xml:space="preserve">Active scored issues</x:t>
  </x:si>
  <x:si>
    <x:t xml:space="preserve">Material FAIL findings</x:t>
  </x:si>
  <x:si>
    <x:t xml:space="preserve">Improvement opportunities</x:t>
  </x:si>
  <x:si>
    <x:t xml:space="preserve">Article</x:t>
  </x:si>
  <x:si>
    <x:t xml:space="preserve">Score /100</x:t>
  </x:si>
  <x:si>
    <x:t xml:space="preserve">Material FAIL</x:t>
  </x:si>
  <x:si>
    <x:t xml:space="preserve">Improvements</x:t>
  </x:si>
  <x:si>
    <x:t xml:space="preserve">Editorial disposition</x:t>
  </x:si>
  <x:si>
    <x:t xml:space="preserve">Custom Christmas Labels and Stickers</x:t>
  </x:si>
  <x:si>
    <x:t xml:space="preserve">What Is Sachet Packaging? Types, Materials &amp; Uses</x:t>
  </x:si>
  <x:si>
    <x:t xml:space="preserve">Personalized Gift Tags: Ideas for Every Occasion</x:t>
  </x:si>
  <x:si>
    <x:t xml:space="preserve">Address Labels Explained: Types, Sizes, Materials</x:t>
  </x:si>
  <x:si>
    <x:t xml:space="preserve">Choosing Apparel Gift Boxes for Your Brand</x:t>
  </x:si>
  <x:si>
    <x:t xml:space="preserve">SCORING PRINCIPLE  ·  Verified material mistakes count once; ordinary promotions and acceptable styles incur no arbitrary penalty.</x:t>
  </x:si>
  <x:si>
    <x:t xml:space="preserve">Mohsin · Article Performance</x:t>
  </x:si>
  <x:si>
    <x:t xml:space="preserve">#</x:t>
  </x:si>
  <x:si>
    <x:t xml:space="preserve">Published URL</x:t>
  </x:si>
  <x:si>
    <x:t xml:space="preserve">Against proposed 70</x:t>
  </x:si>
  <x:si>
    <x:t xml:space="preserve">Management action</x:t>
  </x:si>
  <x:si>
    <x:t xml:space="preserve">https://print247.us/post/custom-christmas-labels-and-stickers</x:t>
  </x:si>
  <x:si>
    <x:t xml:space="preserve">https://print247.us/post/what-is-sachet-packaging</x:t>
  </x:si>
  <x:si>
    <x:t xml:space="preserve">https://print247.us/post/personalized-gift-tags-ideas-for-every-occasion</x:t>
  </x:si>
  <x:si>
    <x:t xml:space="preserve">https://print247.us/post/address-labels-explained-types-sizes-materials</x:t>
  </x:si>
  <x:si>
    <x:t xml:space="preserve">https://print247.us/post/how-to-choose-apparel-gift-boxes-for-your-clothing-brand</x:t>
  </x:si>
  <x:si>
    <x:t xml:space="preserve">Eight Scoring Dimensions</x:t>
  </x:si>
  <x:si>
    <x:t xml:space="preserve">Mohsin · Independently assessed evidence ratings. Repeated issue references do not multiply penalties.</x:t>
  </x:si>
  <x:si>
    <x:t xml:space="preserve">Article #</x:t>
  </x:si>
  <x:si>
    <x:t xml:space="preserve">Dimension</x:t>
  </x:si>
  <x:si>
    <x:t xml:space="preserve">Weight %</x:t>
  </x:si>
  <x:si>
    <x:t xml:space="preserve">Rating /5</x:t>
  </x:si>
  <x:si>
    <x:t xml:space="preserve">Weighted /100</x:t>
  </x:si>
  <x:si>
    <x:t xml:space="preserve">Issue IDs (primary only)</x:t>
  </x:si>
  <x:si>
    <x:t xml:space="preserve">Reasoned rating basis</x:t>
  </x:si>
  <x:si>
    <x:t xml:space="preserve">Topic &amp; search intent</x:t>
  </x:si>
  <x:si>
    <x:t xml:space="preserve">Factual &amp; technical accuracy</x:t>
  </x:si>
  <x:si>
    <x:t xml:space="preserve">Semantic completeness &amp; information value</x:t>
  </x:si>
  <x:si>
    <x:t xml:space="preserve">Practical usefulness &amp; decision support</x:t>
  </x:si>
  <x:si>
    <x:t xml:space="preserve">Content structure &amp; readability</x:t>
  </x:si>
  <x:si>
    <x:t xml:space="preserve">Natural SEO integration</x:t>
  </x:si>
  <x:si>
    <x:t xml:space="preserve">B2B audience &amp; commercial relevance</x:t>
  </x:si>
  <x:si>
    <x:t xml:space="preserve">Editorial quality &amp; consistency</x:t>
  </x:si>
  <x:si>
    <x:t xml:space="preserve">Current Issues &amp; Recommendations</x:t>
  </x:si>
  <x:si>
    <x:t xml:space="preserve">Distinct active evidence-linked findings only. Routine promotion, rejected judgments and unverified claims are not automatic FAIL ratings.</x:t>
  </x:si>
  <x:si>
    <x:t xml:space="preserve">Issue ID</x:t>
  </x:si>
  <x:si>
    <x:t xml:space="preserve">Status</x:t>
  </x:si>
  <x:si>
    <x:t xml:space="preserve">Priority</x:t>
  </x:si>
  <x:si>
    <x:t xml:space="preserve">Finding</x:t>
  </x:si>
  <x:si>
    <x:t xml:space="preserve">Published excerpt (short)</x:t>
  </x:si>
  <x:si>
    <x:t xml:space="preserve">Reason for assessment</x:t>
  </x:si>
  <x:si>
    <x:t xml:space="preserve">Recommended correction</x:t>
  </x:si>
  <x:si>
    <x:t xml:space="preserve">Source lines</x:t>
  </x:si>
  <x:si>
    <x:t xml:space="preserve">Original URL</x:t>
  </x:si>
  <x:si>
    <x:t xml:space="preserve">52 diagnostic checks × 5 articles = 260 actual assessments</x:t>
  </x:si>
  <x:si>
    <x:t xml:space="preserve">PASS · ACCEPTABLE · NEEDS IMPROVEMENT · FAIL · N/A · NOT VERIFIED. Diagnostic checks inform but do not mechanically deduct ratings.</x:t>
  </x:si>
  <x:si>
    <x:t xml:space="preserve">Check ID</x:t>
  </x:si>
  <x:si>
    <x:t xml:space="preserve">Section</x:t>
  </x:si>
  <x:si>
    <x:t xml:space="preserve">Question</x:t>
  </x:si>
  <x:si>
    <x:t xml:space="preserve">Balanced status</x:t>
  </x:si>
  <x:si>
    <x:t xml:space="preserve">Evidence/rationale</x:t>
  </x:si>
  <x:si>
    <x:t xml:space="preserve">Related unique issue IDs</x:t>
  </x:si>
  <x:si>
    <x:t xml:space="preserve">Article lines / URL</x:t>
  </x:si>
  <x:si>
    <x:t xml:space="preserve">0-0</x:t>
  </x:si>
  <x:si>
    <x:t xml:space="preserve">Search Intent &amp; Topic Targeting</x:t>
  </x:si>
  <x:si>
    <x:t xml:space="preserve">The article has a clear primary topic and target query.</x:t>
  </x:si>
  <x:si>
    <x:t xml:space="preserve">0-1</x:t>
  </x:si>
  <x:si>
    <x:t xml:space="preserve">The title accurately reflects what the article delivers.</x:t>
  </x:si>
  <x:si>
    <x:t xml:space="preserve">0-2</x:t>
  </x:si>
  <x:si>
    <x:t xml:space="preserve">The introduction answers or directly addresses the main search intent.</x:t>
  </x:si>
  <x:si>
    <x:t xml:space="preserve">0-3</x:t>
  </x:si>
  <x:si>
    <x:t xml:space="preserve">The content solves the reader’s primary problem.</x:t>
  </x:si>
  <x:si>
    <x:t xml:space="preserve">0-4</x:t>
  </x:si>
  <x:si>
    <x:t xml:space="preserve">Sections stay focused on the main topic without unnecessary tangents.</x:t>
  </x:si>
  <x:si>
    <x:t xml:space="preserve">0-5</x:t>
  </x:si>
  <x:si>
    <x:t xml:space="preserve">The article matches the expected informational or commercial intent.</x:t>
  </x:si>
  <x:si>
    <x:t xml:space="preserve">1-0</x:t>
  </x:si>
  <x:si>
    <x:t xml:space="preserve">Factual Accuracy &amp; Research</x:t>
  </x:si>
  <x:si>
    <x:t xml:space="preserve">Product, material, and packaging terminology is accurate.</x:t>
  </x:si>
  <x:si>
    <x:t xml:space="preserve">Article: Labels vs. Stickers comparison table · https://print247.us/post/custom-christmas-labels-and-stickers</x:t>
  </x:si>
  <x:si>
    <x:t xml:space="preserve">1-1</x:t>
  </x:si>
  <x:si>
    <x:t xml:space="preserve">Specifications, dimensions, and technical statements are correct.</x:t>
  </x:si>
  <x:si>
    <x:t xml:space="preserve">1-2</x:t>
  </x:si>
  <x:si>
    <x:t xml:space="preserve">Statistics and significant factual claims have credible support.</x:t>
  </x:si>
  <x:si>
    <x:t xml:space="preserve">1-3</x:t>
  </x:si>
  <x:si>
    <x:t xml:space="preserve">The content contains no misleading or contradictory claims.</x:t>
  </x:si>
  <x:si>
    <x:t xml:space="preserve">1-4</x:t>
  </x:si>
  <x:si>
    <x:t xml:space="preserve">Explanations demonstrate genuine subject-matter understanding.</x:t>
  </x:si>
  <x:si>
    <x:t xml:space="preserve">1-5</x:t>
  </x:si>
  <x:si>
    <x:t xml:space="preserve">The information is relevant and accurate for US B2B buyers.</x:t>
  </x:si>
  <x:si>
    <x:t xml:space="preserve">2-0</x:t>
  </x:si>
  <x:si>
    <x:t xml:space="preserve">Semantic SEO &amp; Topical Coverage</x:t>
  </x:si>
  <x:si>
    <x:t xml:space="preserve">Important entities, attributes, and subtopics are covered.</x:t>
  </x:si>
  <x:si>
    <x:t xml:space="preserve">2-1</x:t>
  </x:si>
  <x:si>
    <x:t xml:space="preserve">The article explains meaningful relationships between concepts.</x:t>
  </x:si>
  <x:si>
    <x:t xml:space="preserve">2-2</x:t>
  </x:si>
  <x:si>
    <x:t xml:space="preserve">H2 and H3 headings follow a logical topical hierarchy.</x:t>
  </x:si>
  <x:si>
    <x:t xml:space="preserve">2-3</x:t>
  </x:si>
  <x:si>
    <x:t xml:space="preserve">Essential questions and decision factors are answered.</x:t>
  </x:si>
  <x:si>
    <x:t xml:space="preserve">2-4</x:t>
  </x:si>
  <x:si>
    <x:t xml:space="preserve">There are no major topical gaps that prevent intent satisfaction.</x:t>
  </x:si>
  <x:si>
    <x:t xml:space="preserve">2-5</x:t>
  </x:si>
  <x:si>
    <x:t xml:space="preserve">Sections add distinct value instead of repeating the same information.</x:t>
  </x:si>
  <x:si>
    <x:t xml:space="preserve">3-0</x:t>
  </x:si>
  <x:si>
    <x:t xml:space="preserve">Originality &amp; Information Gain</x:t>
  </x:si>
  <x:si>
    <x:t xml:space="preserve">The article provides more than generic definitions or descriptions.</x:t>
  </x:si>
  <x:si>
    <x:t xml:space="preserve">3-1</x:t>
  </x:si>
  <x:si>
    <x:t xml:space="preserve">Practical examples or specific applications are included where useful.</x:t>
  </x:si>
  <x:si>
    <x:t xml:space="preserve">3-2</x:t>
  </x:si>
  <x:si>
    <x:t xml:space="preserve">Readers receive actionable advice or decision-making guidance.</x:t>
  </x:si>
  <x:si>
    <x:t xml:space="preserve">3-3</x:t>
  </x:si>
  <x:si>
    <x:t xml:space="preserve">Useful comparisons, specifications, or trade-offs are explained.</x:t>
  </x:si>
  <x:si>
    <x:t xml:space="preserve">3-4</x:t>
  </x:si>
  <x:si>
    <x:t xml:space="preserve">The content offers insights relevant to real packaging purchasing decisions.</x:t>
  </x:si>
  <x:si>
    <x:t xml:space="preserve">Article: Package Sealing Labels section · https://print247.us/post/custom-christmas-labels-and-stickers</x:t>
  </x:si>
  <x:si>
    <x:t xml:space="preserve">3-5</x:t>
  </x:si>
  <x:si>
    <x:t xml:space="preserve">There is no evident substantial duplication or unattributed copying.</x:t>
  </x:si>
  <x:si>
    <x:t xml:space="preserve">4-0</x:t>
  </x:si>
  <x:si>
    <x:t xml:space="preserve">Structure &amp; Readability</x:t>
  </x:si>
  <x:si>
    <x:t xml:space="preserve">The introduction is concise and relevant.</x:t>
  </x:si>
  <x:si>
    <x:t xml:space="preserve">4-1</x:t>
  </x:si>
  <x:si>
    <x:t xml:space="preserve">Headings are descriptive, clear, and logically organized.</x:t>
  </x:si>
  <x:si>
    <x:t xml:space="preserve">4-2</x:t>
  </x:si>
  <x:si>
    <x:t xml:space="preserve">Paragraphs and sentences are easy to follow.</x:t>
  </x:si>
  <x:si>
    <x:t xml:space="preserve">4-3</x:t>
  </x:si>
  <x:si>
    <x:t xml:space="preserve">The article progresses logically without unnecessary repetition.</x:t>
  </x:si>
  <x:si>
    <x:t xml:space="preserve">4-4</x:t>
  </x:si>
  <x:si>
    <x:t xml:space="preserve">Tables, lists, and examples improve understanding where appropriate.</x:t>
  </x:si>
  <x:si>
    <x:t xml:space="preserve">4-5</x:t>
  </x:si>
  <x:si>
    <x:t xml:space="preserve">The conclusion summarizes useful takeaways or next steps.</x:t>
  </x:si>
  <x:si>
    <x:t xml:space="preserve">5-0</x:t>
  </x:si>
  <x:si>
    <x:t xml:space="preserve">Keyword Integration</x:t>
  </x:si>
  <x:si>
    <x:t xml:space="preserve">The primary keyword is used naturally in relevant locations.</x:t>
  </x:si>
  <x:si>
    <x:t xml:space="preserve">5-1</x:t>
  </x:si>
  <x:si>
    <x:t xml:space="preserve">Supporting terms and variations fit the article’s context.</x:t>
  </x:si>
  <x:si>
    <x:t xml:space="preserve">5-2</x:t>
  </x:si>
  <x:si>
    <x:t xml:space="preserve">Headings are descriptive rather than keyword-stuffed.</x:t>
  </x:si>
  <x:si>
    <x:t xml:space="preserve">5-3</x:t>
  </x:si>
  <x:si>
    <x:t xml:space="preserve">There is no excessive exact-match keyword repetition.</x:t>
  </x:si>
  <x:si>
    <x:t xml:space="preserve">5-4</x:t>
  </x:si>
  <x:si>
    <x:t xml:space="preserve">The article consistently addresses one coherent primary intent.</x:t>
  </x:si>
  <x:si>
    <x:t xml:space="preserve">6-0</x:t>
  </x:si>
  <x:si>
    <x:t xml:space="preserve">B2B Audience &amp; Commercial Alignment</x:t>
  </x:si>
  <x:si>
    <x:t xml:space="preserve">The intended business buyer is clearly identifiable.</x:t>
  </x:si>
  <x:si>
    <x:t xml:space="preserve">6-1</x:t>
  </x:si>
  <x:si>
    <x:t xml:space="preserve">The content addresses practical business or procurement needs.</x:t>
  </x:si>
  <x:si>
    <x:t xml:space="preserve">6-2</x:t>
  </x:si>
  <x:si>
    <x:t xml:space="preserve">Relevant considerations such as MOQ, customization, materials, printing, or lead times are explained where appropriate.</x:t>
  </x:si>
  <x:si>
    <x:t xml:space="preserve">6-3</x:t>
  </x:si>
  <x:si>
    <x:t xml:space="preserve">The content supports an informed product or packaging decision.</x:t>
  </x:si>
  <x:si>
    <x:t xml:space="preserve">6-4</x:t>
  </x:si>
  <x:si>
    <x:t xml:space="preserve">Product or category references are contextually relevant.</x:t>
  </x:si>
  <x:si>
    <x:t xml:space="preserve">6-5</x:t>
  </x:si>
  <x:si>
    <x:t xml:space="preserve">Commercial calls to action are helpful and appropriate to the article’s intent.</x:t>
  </x:si>
  <x:si>
    <x:t xml:space="preserve">7-0</x:t>
  </x:si>
  <x:si>
    <x:t xml:space="preserve">Internal Linking</x:t>
  </x:si>
  <x:si>
    <x:t xml:space="preserve">Relevant internal links are included where useful.</x:t>
  </x:si>
  <x:si>
    <x:t xml:space="preserve">7-1</x:t>
  </x:si>
  <x:si>
    <x:t xml:space="preserve">Anchor text clearly describes the destination.</x:t>
  </x:si>
  <x:si>
    <x:t xml:space="preserve">7-2</x:t>
  </x:si>
  <x:si>
    <x:t xml:space="preserve">Linked product, category, or informational pages are contextually relevant.</x:t>
  </x:si>
  <x:si>
    <x:t xml:space="preserve">7-3</x:t>
  </x:si>
  <x:si>
    <x:t xml:space="preserve">Links lead to appropriate working destinations.</x:t>
  </x:si>
  <x:si>
    <x:t xml:space="preserve">7-4</x:t>
  </x:si>
  <x:si>
    <x:t xml:space="preserve">Important natural internal linking opportunities are not overlooked.</x:t>
  </x:si>
  <x:si>
    <x:t xml:space="preserve">8-0</x:t>
  </x:si>
  <x:si>
    <x:t xml:space="preserve">Grammar &amp; Editorial Quality</x:t>
  </x:si>
  <x:si>
    <x:t xml:space="preserve">Grammar, spelling, and punctuation are correct.</x:t>
  </x:si>
  <x:si>
    <x:t xml:space="preserve">8-1</x:t>
  </x:si>
  <x:si>
    <x:t xml:space="preserve">American English conventions are applied consistently.</x:t>
  </x:si>
  <x:si>
    <x:t xml:space="preserve">8-2</x:t>
  </x:si>
  <x:si>
    <x:t xml:space="preserve">Sentences sound natural and professional.</x:t>
  </x:si>
  <x:si>
    <x:t xml:space="preserve">8-3</x:t>
  </x:si>
  <x:si>
    <x:t xml:space="preserve">Terminology and brand voice remain consistent.</x:t>
  </x:si>
  <x:si>
    <x:t xml:space="preserve">8-4</x:t>
  </x:si>
  <x:si>
    <x:t xml:space="preserve">Filler, awkward phrasing, and unnecessary repetition are minimized.</x:t>
  </x:si>
  <x:si>
    <x:t xml:space="preserve">8-5</x:t>
  </x:si>
  <x:si>
    <x:t xml:space="preserve">Claims avoid exaggerated or unsupported promotional language.</x:t>
  </x:si>
  <x:si>
    <x:t xml:space="preserve">L269–272; L290–293 · https://print247.us/post/what-is-sachet-packaging</x:t>
  </x:si>
  <x:si>
    <x:t xml:space="preserve">L230–232; L281–284 · https://print247.us/post/what-is-sachet-packaging</x:t>
  </x:si>
  <x:si>
    <x:t xml:space="preserve">L230–232; L269–272 · https://print247.us/post/what-is-sachet-packaging</x:t>
  </x:si>
  <x:si>
    <x:t xml:space="preserve">L290–293 · https://print247.us/post/what-is-sachet-packaging</x:t>
  </x:si>
  <x:si>
    <x:t xml:space="preserve">L281–284 · https://print247.us/post/what-is-sachet-packaging</x:t>
  </x:si>
  <x:si>
    <x:t xml:space="preserve">L230–232; L290–293 · https://print247.us/post/what-is-sachet-packaging</x:t>
  </x:si>
  <x:si>
    <x:t xml:space="preserve">L314–316 · https://print247.us/post/personalized-gift-tags-ideas-for-every-occasion</x:t>
  </x:si>
  <x:si>
    <x:t xml:space="preserve">L308–320; L271–274 · https://print247.us/post/address-labels-explained-types-sizes-materials</x:t>
  </x:si>
  <x:si>
    <x:t xml:space="preserve">L308–320; L271–274; L334–337 · https://print247.us/post/address-labels-explained-types-sizes-materials</x:t>
  </x:si>
  <x:si>
    <x:t xml:space="preserve">L308–320 · https://print247.us/post/address-labels-explained-types-sizes-materials</x:t>
  </x:si>
  <x:si>
    <x:t xml:space="preserve">L271–274; L334–337 · https://print247.us/post/address-labels-explained-types-sizes-materials</x:t>
  </x:si>
  <x:si>
    <x:t xml:space="preserve">L303–313 · https://print247.us/post/how-to-choose-apparel-gift-boxes-for-your-clothing-brand</x:t>
  </x:si>
  <x:si>
    <x:t xml:space="preserve">L303–313; L267–281 · https://print247.us/post/how-to-choose-apparel-gift-boxes-for-your-clothing-brand</x:t>
  </x:si>
  <x:si>
    <x:t xml:space="preserve">L267–281 · https://print247.us/post/how-to-choose-apparel-gift-boxes-for-your-clothing-brand</x:t>
  </x:si>
  <x:si>
    <x:t xml:space="preserve">Mohsin · Verified Article Strengths</x:t>
  </x:si>
  <x:si>
    <x:t xml:space="preserve">Article-specific positives; source URLs and referenced sections support these observations.</x:t>
  </x:si>
  <x:si>
    <x:t xml:space="preserve">Article title</x:t>
  </x:si>
  <x:si>
    <x:t xml:space="preserve">Positive observation</x:t>
  </x:si>
  <x:si>
    <x:t xml:space="preserve">Offers a practical low-cost alternative to replacing ordinary boxes for the holidays.</x:t>
  </x:si>
  <x:si>
    <x:t xml:space="preserve">Covers rolls, sheets, artwork preparation, materials and quantity decisions.</x:t>
  </x:si>
  <x:si>
    <x:t xml:space="preserve">Includes distinct return-address, branding, to/from and thank-you applications.</x:t>
  </x:si>
  <x:si>
    <x:t xml:space="preserve">Explains sachets vs stick packs and pouches in concrete terms.</x:t>
  </x:si>
  <x:si>
    <x:t xml:space="preserve">Covers several industry applications including food trials and cosmetic samples.</x:t>
  </x:si>
  <x:si>
    <x:t xml:space="preserve">Discusses useful foil, paper and plastic film trade-offs and sustainability challenges.</x:t>
  </x:si>
  <x:si>
    <x:t xml:space="preserve">All fifteen ideas are recognizable and suitably separated into holiday and everyday uses.</x:t>
  </x:si>
  <x:si>
    <x:t xml:space="preserve">DIY-versus-custom-ordered comparison helps buyers choose scale and workflow.</x:t>
  </x:si>
  <x:si>
    <x:t xml:space="preserve">Lists paper, cardstock and finishing options and discusses ordering lead time.</x:t>
  </x:si>
  <x:si>
    <x:t xml:space="preserve">Gives practical sheet-label dimensions and a common 4 × 6-inch thermal roll format.</x:t>
  </x:si>
  <x:si>
    <x:t xml:space="preserve">Explains when mail merge helps growing retailers avoid manual typing.</x:t>
  </x:si>
  <x:si>
    <x:t xml:space="preserve">Highlights testing adhesive on coated boxes and poly mailers—good supplier thinking.</x:t>
  </x:si>
  <x:si>
    <x:t xml:space="preserve">Strong five-step selection sequence and product-specific examples for shirts, coats and gift sets.</x:t>
  </x:si>
  <x:si>
    <x:t xml:space="preserve">Tells buyers to measure the actual folded garment, a usable sizing instruction.</x:t>
  </x:si>
  <x:si>
    <x:t xml:space="preserve">Includes clear purchasing considerations about budget, brand position and seasonality.</x:t>
  </x:si>
  <x:si>
    <x:t xml:space="preserve">Mohsin · Personalized SEO Improvement Guide</x:t>
  </x:si>
  <x:si>
    <x:t xml:space="preserve">Recurring mistake</x:t>
  </x:si>
  <x:si>
    <x:t xml:space="preserve">Frequency (articles)</x:t>
  </x:si>
  <x:si>
    <x:t xml:space="preserve">Personalized writer guidance</x:t>
  </x:si>
  <x:si>
    <x:t xml:space="preserve">Current balanced content evaluation methodology</x:t>
  </x:si>
  <x:si>
    <x:t xml:space="preserve">Evidence first. Outcomes matter. Stylistic choices are not ranking requirements.</x:t>
  </x:si>
  <x:si>
    <x:t xml:space="preserve">Classification</x:t>
  </x:si>
  <x:si>
    <x:t xml:space="preserve">Interpretation</x:t>
  </x:si>
  <x:si>
    <x:t xml:space="preserve">Automatic penalty?</x:t>
  </x:si>
  <x:si>
    <x:t xml:space="preserve">Publication implication</x:t>
  </x:si>
  <x:si>
    <x:t xml:space="preserve">Evidence standard</x:t>
  </x:si>
  <x:si>
    <x:t xml:space="preserve">PASS</x:t>
  </x:si>
  <x:si>
    <x:t xml:space="preserve">Satisfies the article-specific requirement</x:t>
  </x:si>
  <x:si>
    <x:t xml:space="preserve">No</x:t>
  </x:si>
  <x:si>
    <x:t xml:space="preserve">Keep</x:t>
  </x:si>
  <x:si>
    <x:t xml:space="preserve">Relevant published text</x:t>
  </x:si>
  <x:si>
    <x:t xml:space="preserve">ACCEPTABLE</x:t>
  </x:si>
  <x:si>
    <x:t xml:space="preserve">Legitimate alternate editorial approach</x:t>
  </x:si>
  <x:si>
    <x:t xml:space="preserve">Keep or optional refinement</x:t>
  </x:si>
  <x:si>
    <x:t xml:space="preserve">No arbitrary answer-first/location mandate</x:t>
  </x:si>
  <x:si>
    <x:t xml:space="preserve">NEEDS IMPROVEMENT</x:t>
  </x:si>
  <x:si>
    <x:t xml:space="preserve">Meaningful, noncritical limitation</x:t>
  </x:si>
  <x:si>
    <x:t xml:space="preserve">Proportionate within dimension</x:t>
  </x:si>
  <x:si>
    <x:t xml:space="preserve">Schedule an improvement</x:t>
  </x:si>
  <x:si>
    <x:t xml:space="preserve">Quote or documented missing decision element</x:t>
  </x:si>
  <x:si>
    <x:t xml:space="preserve">FAIL</x:t>
  </x:si>
  <x:si>
    <x:t xml:space="preserve">Verified material technical or factual error, or serious deficiency. Absolute wording alone is not an automatic FAIL; apply approved safeguards.</x:t>
  </x:si>
  <x:si>
    <x:t xml:space="preserve">Meaningful holistic impact; do NOT multiply across checklist</x:t>
  </x:si>
  <x:si>
    <x:t xml:space="preserve">Correct or formally substantiate before release</x:t>
  </x:si>
  <x:si>
    <x:t xml:space="preserve">Exact source text + reason</x:t>
  </x:si>
  <x:si>
    <x:t xml:space="preserve">N/A</x:t>
  </x:si>
  <x:si>
    <x:t xml:space="preserve">Not relevant to this article</x:t>
  </x:si>
  <x:si>
    <x:t xml:space="preserve">No / excluded</x:t>
  </x:si>
  <x:si>
    <x:t xml:space="preserve">None</x:t>
  </x:si>
  <x:si>
    <x:t xml:space="preserve">Reason applicability does not exist</x:t>
  </x:si>
  <x:si>
    <x:t xml:space="preserve">NOT VERIFIED</x:t>
  </x:si>
  <x:si>
    <x:t xml:space="preserve">Independent evidence unavailable</x:t>
  </x:si>
  <x:si>
    <x:t xml:space="preserve">No / excluded pending test</x:t>
  </x:si>
  <x:si>
    <x:t xml:space="preserve">Test only when decision-critical</x:t>
  </x:si>
  <x:si>
    <x:t xml:space="preserve">Explicitly state missing verification</x:t>
  </x:si>
  <x:si>
    <x:t xml:space="preserve">Weight</x:t>
  </x:si>
  <x:si>
    <x:t xml:space="preserve">Scoring formula</x:t>
  </x:si>
  <x:si>
    <x:t xml:space="preserve">What determines rating</x:t>
  </x:si>
  <x:si>
    <x:t xml:space="preserve">SEO policy relation</x:t>
  </x:si>
  <x:si>
    <x:t xml:space="preserve">Weight × (holistic rating ÷ 5)</x:t>
  </x:si>
  <x:si>
    <x:t xml:space="preserve">0–5, 0.5 increments; no pass-count conversion</x:t>
  </x:si>
  <x:si>
    <x:t xml:space="preserve">Google favors helpful, reliable, relevant writing, not fixed intro lengths</x:t>
  </x:si>
  <x:si>
    <x:t xml:space="preserve">SOURCES &amp; VERIFICATION LIMITS</x:t>
  </x:si>
  <x:si>
    <x:t xml:space="preserve">Google Search Central helpful content</x:t>
  </x:si>
  <x:si>
    <x:t xml:space="preserve">https://developers.google.com/search/docs/fundamentals/creating-helpful-content</x:t>
  </x:si>
  <x:si>
    <x:t xml:space="preserve">Google SEO Starter Guide</x:t>
  </x:si>
  <x:si>
    <x:t xml:space="preserve">https://developers.google.com/search/docs/fundamentals/seo-starter-guide</x:t>
  </x:si>
  <x:si>
    <x:t xml:space="preserve">FTC environmental marketing guidance</x:t>
  </x:si>
  <x:si>
    <x:t xml:space="preserve">https://www.ftc.gov/business-guidance/resources/environmental-claims-summary-green-guides</x:t>
  </x:si>
  <x:si>
    <x:t xml:space="preserve">ISSUE</x:t>
  </x:si>
  <x:si>
    <x:t xml:space="preserve">ARTICLE</x:t>
  </x:si>
  <x:si>
    <x:t xml:space="preserve">EDITORIAL VERDICT</x:t>
  </x:si>
  <x:si>
    <x:t xml:space="preserve">BUSINESS ACTION</x:t>
  </x:si>
  <x:si>
    <x:t xml:space="preserve">RATIONALE</x:t>
  </x:si>
  <x:si>
    <x:t xml:space="preserve">REFERENCE</x:t>
  </x:si>
  <x:si>
    <x:t xml:space="preserve">GENERAL-01</x:t>
  </x:si>
  <x:si>
    <x:t xml:space="preserve">All articles</x:t>
  </x:si>
  <x:si>
    <x:t xml:space="preserve">Relevant introductions are not penalized</x:t>
  </x:si>
  <x:si>
    <x:t xml:space="preserve">Relevant contextual paragraphs may precede definitions or direct answers; no mandated answer-first position.</x:t>
  </x:si>
  <x:si>
    <x:t xml:space="preserve">GENERAL-02</x:t>
  </x:si>
  <x:si>
    <x:t xml:space="preserve">Routine B2B promotional positioning is allowed</x:t>
  </x:si>
  <x:si>
    <x:t xml:space="preserve">Best known, premium quality and ensure timely delivery are normal marketing claims absent a material misleading context.</x:t>
  </x:si>
  <x:si>
    <x:t xml:space="preserve">https://www.ftc.gov/business-guidance/advertising-marketing</x:t>
  </x:si>
  <x:si>
    <x:t xml:space="preserve">GENERAL-03</x:t>
  </x:si>
  <x:si>
    <x:t xml:space="preserve">No grammar or heading nitpicks</x:t>
  </x:si>
  <x:si>
    <x:t xml:space="preserve">Minor spelling, punctuation, heading alternatives and acceptable background receive no independent penalty.</x:t>
  </x:si>
  <x:si>
    <x:t xml:space="preserve">GENERAL-04</x:t>
  </x:si>
  <x:si>
    <x:t xml:space="preserve">ACCEPTABLE / VERIFY</x:t>
  </x:si>
  <x:si>
    <x:t xml:space="preserve">Review objectively measurable guarantees</x:t>
  </x:si>
  <x:si>
    <x:t xml:space="preserve">Exact zero-defect production, 100% material performance and perfect every-unit claims need supplier substantiation; not automatic writer failures.</x:t>
  </x:si>
  <x:si>
    <x:t xml:space="preserve">https://www.ftc.gov/business-guidance/resources/advertising-faqs-guide-small-business</x:t>
  </x:si>
  <x:si>
    <x:t xml:space="preserve">GENERAL-05</x:t>
  </x:si>
  <x:si>
    <x:t xml:space="preserve">Do not infer writing AI usage or plagiarism</x:t>
  </x:si>
  <x:si>
    <x:t xml:space="preserve">Neither AI authorship nor plagiarism is determined from text alone; out of official scoring.</x:t>
  </x:si>
</x:sst>
</file>

<file path=xl/styles.xml><?xml version="1.0" encoding="utf-8"?>
<x:styleSheet xmlns:x="http://schemas.openxmlformats.org/spreadsheetml/2006/main">
  <x:numFmts count="1">
    <x:numFmt numFmtId="164" formatCode="0.0"/>
  </x:numFmts>
  <x:fonts count="9">
    <x:font>
      <x:sz val="11"/>
      <x:name val="Carlito"/>
    </x:font>
    <x:font>
      <x:b/>
      <x:sz val="17"/>
      <x:color rgb="FFFFFFFF"/>
      <x:name val="Carlito"/>
    </x:font>
    <x:font>
      <x:i/>
      <x:sz val="10"/>
      <x:color rgb="FF66758A"/>
      <x:name val="Carlito"/>
    </x:font>
    <x:font>
      <x:b/>
      <x:sz val="10"/>
      <x:color rgb="FFFFFFFF"/>
      <x:name val="Carlito"/>
    </x:font>
    <x:font>
      <x:sz val="11"/>
      <x:color rgb="FF66758A"/>
      <x:name val="Carlito"/>
    </x:font>
    <x:font>
      <x:b/>
      <x:sz val="11"/>
      <x:color rgb="FF14253E"/>
      <x:name val="Carlito"/>
    </x:font>
    <x:font>
      <x:b/>
      <x:sz val="14"/>
      <x:color rgb="FF0E7490"/>
      <x:name val="Carlito"/>
    </x:font>
    <x:font>
      <x:i/>
      <x:sz val="11"/>
      <x:color rgb="FF66758A"/>
      <x:name val="Carlito"/>
    </x:font>
    <x:font>
      <x:b/>
      <x:sz val="11"/>
      <x:color rgb="FF9C0006"/>
      <x:name val="Carlito"/>
    </x:font>
  </x:fonts>
  <x:fills count="8">
    <x:fill>
      <x:patternFill patternType="none"/>
    </x:fill>
    <x:fill>
      <x:patternFill patternType="gray125"/>
    </x:fill>
    <x:fill>
      <x:patternFill patternType="solid">
        <x:fgColor rgb="FF14253E"/>
      </x:patternFill>
    </x:fill>
    <x:fill>
      <x:patternFill patternType="solid">
        <x:fgColor rgb="FFEDF4F8"/>
      </x:patternFill>
    </x:fill>
    <x:fill>
      <x:patternFill patternType="solid">
        <x:fgColor rgb="FFFCE8E6"/>
      </x:patternFill>
    </x:fill>
    <x:fill>
      <x:patternFill patternType="solid">
        <x:fgColor rgb="FFFFF0D6"/>
      </x:patternFill>
    </x:fill>
    <x:fill>
      <x:patternFill patternType="solid">
        <x:fgColor rgb="FFE7F3F2"/>
      </x:patternFill>
    </x:fill>
    <x:fill>
      <x:patternFill patternType="solid">
        <x:fgColor rgb="FFFBE0E0"/>
      </x:patternFill>
    </x:fill>
  </x:fills>
  <x:borders count="2">
    <x:border/>
    <x:border/>
  </x:borders>
  <x:cellStyleXfs count="1">
    <x:xf numFmtId="0" fontId="0" fillId="0" borderId="0"/>
  </x:cellStyleXfs>
  <x:cellXfs count="44">
    <x:xf numFmtId="0" fontId="0" fillId="0" borderId="0" xfId="0"/>
    <x:xf numFmtId="0" fontId="3" fillId="2" borderId="0" xfId="0" applyFont="1" applyFill="1" applyAlignment="1">
      <x:alignment vertical="center" wrapText="1"/>
    </x:xf>
    <x:xf numFmtId="0" fontId="0" fillId="0" borderId="0" xfId="0" applyAlignment="1">
      <x:alignment wrapText="1"/>
    </x:xf>
    <x:xf numFmtId="164" fontId="0" fillId="0" borderId="0" xfId="0" applyNumberFormat="1" applyAlignment="1">
      <x:alignment wrapText="1"/>
    </x:xf>
    <x:xf numFmtId="0" fontId="5" fillId="3" borderId="0" xfId="0" applyFont="1" applyFill="1"/>
    <x:xf numFmtId="0" fontId="6" fillId="0" borderId="0" xfId="0" applyFont="1"/>
    <x:xf numFmtId="164" fontId="6" fillId="0" borderId="0" xfId="0" applyNumberFormat="1" applyFont="1"/>
    <x:xf numFmtId="0" fontId="0" fillId="0" borderId="0" xfId="0" applyAlignment="1">
      <x:alignment vertical="center" wrapText="1"/>
    </x:xf>
    <x:xf numFmtId="0" fontId="8" fillId="4" borderId="0" xfId="0" applyFont="1" applyFill="1" applyAlignment="1">
      <x:alignment vertical="center" wrapText="1"/>
    </x:xf>
    <x:xf numFmtId="0" fontId="1" fillId="2" borderId="0" xfId="0" applyFont="1" applyFill="1"/>
    <x:xf numFmtId="0" fontId="4" fillId="0" borderId="0" xfId="0" applyFont="1"/>
    <x:xf numFmtId="0" fontId="5" fillId="3" borderId="0" xfId="0" applyFont="1" applyFill="1"/>
    <x:xf numFmtId="0" fontId="7" fillId="0" borderId="0" xfId="0" applyFont="1" applyAlignment="1">
      <x:alignment wrapText="1"/>
    </x:xf>
    <x:xf numFmtId="0" fontId="2" fillId="0" borderId="0" xfId="0" applyFont="1" applyAlignment="1">
      <x:alignment wrapText="1"/>
    </x:xf>
    <x:xf numFmtId="0" fontId="5" fillId="0" borderId="0" xfId="0" applyFont="1"/>
    <x:xf numFmtId="0" fontId="3" fillId="2" borderId="0" xfId="0" applyFont="1" applyFill="1" applyAlignment="1">
      <x:alignment vertical="center" wrapText="1"/>
    </x:xf>
    <x:xf numFmtId="0" fontId="0" fillId="0" borderId="0" xfId="0" applyAlignment="1">
      <x:alignment vertical="center" wrapText="1"/>
    </x:xf>
    <x:xf numFmtId="0" fontId="0" fillId="0" borderId="0" xfId="0" applyAlignment="1">
      <x:alignment wrapText="1"/>
    </x:xf>
    <x:xf numFmtId="0" fontId="0" fillId="0" borderId="1" xfId="0" applyNumberFormat="1" applyFont="1" applyFill="1" applyBorder="1"/>
    <x:xf numFmtId="0" fontId="3"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164" fontId="0" fillId="0" borderId="1" xfId="0" applyNumberFormat="1" applyFont="1" applyFill="1" applyBorder="1" applyAlignment="1">
      <x:alignment wrapText="1"/>
    </x:xf>
    <x:xf numFmtId="0" fontId="5" fillId="3" borderId="1" xfId="0" applyNumberFormat="1" applyFont="1" applyFill="1" applyBorder="1"/>
    <x:xf numFmtId="0" fontId="6" fillId="0" borderId="1" xfId="0" applyNumberFormat="1" applyFont="1" applyFill="1" applyBorder="1"/>
    <x:xf numFmtId="164" fontId="6" fillId="0" borderId="1" xfId="0" applyNumberFormat="1" applyFont="1" applyFill="1" applyBorder="1"/>
    <x:xf numFmtId="0" fontId="0" fillId="0" borderId="1" xfId="0" applyNumberFormat="1" applyFont="1" applyFill="1" applyBorder="1" applyAlignment="1">
      <x:alignment vertical="center" wrapText="1"/>
    </x:xf>
    <x:xf numFmtId="0" fontId="8" fillId="4" borderId="1" xfId="0" applyNumberFormat="1" applyFont="1" applyFill="1" applyBorder="1" applyAlignment="1">
      <x:alignment vertical="center" wrapText="1"/>
    </x:xf>
    <x:xf numFmtId="0" fontId="1" fillId="2" borderId="1" xfId="0" applyNumberFormat="1" applyFont="1" applyFill="1" applyBorder="1"/>
    <x:xf numFmtId="0" fontId="4" fillId="0" borderId="1" xfId="0" applyNumberFormat="1" applyFont="1" applyFill="1" applyBorder="1"/>
    <x:xf numFmtId="0" fontId="7"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5" fillId="0" borderId="1" xfId="0" applyNumberFormat="1" applyFont="1" applyFill="1" applyBorder="1"/>
    <x:xf numFmtId="0" fontId="8" fillId="5" borderId="0" xfId="0" applyNumberFormat="1" applyFont="1" applyFill="1" applyBorder="1" applyAlignment="1">
      <x:alignment vertical="center" wrapText="1"/>
    </x:xf>
    <x:xf numFmtId="0" fontId="8" fillId="5" borderId="1" xfId="0" applyNumberFormat="1" applyFont="1" applyFill="1" applyBorder="1" applyAlignment="1">
      <x:alignment vertical="center" wrapText="1"/>
    </x:xf>
    <x:xf numFmtId="0" fontId="0" fillId="6" borderId="0" xfId="0" applyNumberFormat="1" applyFont="1" applyFill="1" applyBorder="1"/>
    <x:xf numFmtId="0" fontId="0" fillId="6" borderId="1"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898b45226d40aa" /><Relationship Type="http://schemas.openxmlformats.org/officeDocument/2006/relationships/theme" Target="/xl/theme/theme1.xml" Id="R47a501c2a35c4394" /><Relationship Type="http://schemas.openxmlformats.org/officeDocument/2006/relationships/sharedStrings" Target="/xl/sharedStrings.xml" Id="R8e818a6edb984236" /><Relationship Type="http://schemas.openxmlformats.org/officeDocument/2006/relationships/worksheet" Target="/xl/worksheets/sheet1.xml" Id="Ra71a975d95334e84" /><Relationship Type="http://schemas.openxmlformats.org/officeDocument/2006/relationships/worksheet" Target="/xl/worksheets/sheet2.xml" Id="R6ef044f9bbed47c3" /><Relationship Type="http://schemas.openxmlformats.org/officeDocument/2006/relationships/worksheet" Target="/xl/worksheets/sheet3.xml" Id="Re8d5db9187f748f8" /><Relationship Type="http://schemas.openxmlformats.org/officeDocument/2006/relationships/worksheet" Target="/xl/worksheets/sheet4.xml" Id="Rd27c1058559545f3" /><Relationship Type="http://schemas.openxmlformats.org/officeDocument/2006/relationships/worksheet" Target="/xl/worksheets/sheet5.xml" Id="R4b49e7a2af424d66" /><Relationship Type="http://schemas.openxmlformats.org/officeDocument/2006/relationships/worksheet" Target="/xl/worksheets/sheet6.xml" Id="Rf9cd1943363a4ba2" /><Relationship Type="http://schemas.openxmlformats.org/officeDocument/2006/relationships/worksheet" Target="/xl/worksheets/sheet7.xml" Id="Rf20398ee265b4b7a" /><Relationship Type="http://schemas.openxmlformats.org/officeDocument/2006/relationships/worksheet" Target="/xl/worksheets/sheet8.xml" Id="R7836466e121c4e30" /><Relationship Type="http://schemas.openxmlformats.org/officeDocument/2006/relationships/worksheet" Target="/xl/worksheets/sheet9.xml" Id="Rdb6670172be542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59" customWidth="1"/>
    <x:col min="2" max="2" width="20" customWidth="1"/>
    <x:col min="3" max="4" width="18" customWidth="1"/>
    <x:col min="5" max="5" width="55" customWidth="1"/>
    <x:col min="6" max="6" width="19" customWidth="1"/>
    <x:col min="7" max="8" width="21" customWidth="1"/>
  </x:cols>
  <x:sheetData>
    <x:row r="1" ht="24.299999237060547" customHeight="1">
      <x:c r="A1" s="9" t="s">
        <x:v>0</x:v>
      </x:c>
      <x:c r="B1" s="9"/>
      <x:c r="C1" s="9"/>
      <x:c r="D1" s="9"/>
      <x:c r="E1" s="9"/>
      <x:c r="F1" s="9"/>
      <x:c r="G1" s="9"/>
      <x:c r="H1" s="9"/>
    </x:row>
    <x:row r="3" ht="17.25" customHeight="1">
      <x:c r="A3" s="10" t="str">
        <x:v>Management overview  ·  Current balanced SEO review  ·  5 articles  ·  Manager-calibrated findings</x:v>
      </x:c>
      <x:c r="B3" s="10"/>
      <x:c r="C3" s="10"/>
      <x:c r="D3" s="10"/>
      <x:c r="E3" s="10"/>
      <x:c r="F3" s="10"/>
      <x:c r="G3" s="10"/>
      <x:c r="H3" s="10"/>
    </x:row>
    <x:row r="5" ht="16.649999618530273" customHeight="1">
      <x:c r="A5" s="4" t="s">
        <x:v>1</x:v>
      </x:c>
      <x:c r="B5" s="6" t="n">
        <x:f>AVERAGE('Article Scores'!D6:D10)</x:f>
        <x:v>85.5</x:v>
      </x:c>
    </x:row>
    <x:row r="6" ht="16.649999618530273" customHeight="1">
      <x:c r="A6" s="4" t="s">
        <x:v>2</x:v>
      </x:c>
      <x:c r="B6" s="5">
        <x:v>5</x:v>
      </x:c>
    </x:row>
    <x:row r="7" ht="16.649999618530273" customHeight="1">
      <x:c r="A7" s="4" t="s">
        <x:v>3</x:v>
      </x:c>
      <x:c r="B7" s="5">
        <x:v>70</x:v>
      </x:c>
    </x:row>
    <x:row r="8" ht="16.649999618530273" customHeight="1">
      <x:c r="A8" s="4" t="s">
        <x:v>4</x:v>
      </x:c>
      <x:c r="B8" s="5" t="n">
        <x:f>COUNTA(Issues!A6:A10)</x:f>
        <x:v>5</x:v>
      </x:c>
    </x:row>
    <x:row r="9" ht="16.649999618530273" customHeight="1">
      <x:c r="A9" s="4" t="s">
        <x:v>5</x:v>
      </x:c>
      <x:c r="B9" s="5" t="n">
        <x:f>COUNTIF(Issues!C6:C10,"FAIL")</x:f>
        <x:v>4</x:v>
      </x:c>
    </x:row>
    <x:row r="10" ht="16.649999618530273" customHeight="1">
      <x:c r="A10" s="4" t="s">
        <x:v>6</x:v>
      </x:c>
      <x:c r="B10" s="5" t="n">
        <x:f>COUNTIF(Issues!C6:C10,"NEEDS IMPROVEMENT")</x:f>
        <x:v>1</x:v>
      </x:c>
    </x:row>
    <x:row r="12" ht="20.549999237060547" customHeight="1">
      <x:c r="A12" s="1" t="s">
        <x:v>7</x:v>
      </x:c>
      <x:c r="B12" s="1" t="s">
        <x:v>8</x:v>
      </x:c>
      <x:c r="C12" s="1" t="s">
        <x:v>9</x:v>
      </x:c>
      <x:c r="D12" s="1" t="s">
        <x:v>10</x:v>
      </x:c>
      <x:c r="E12" s="1" t="s">
        <x:v>11</x:v>
      </x:c>
    </x:row>
    <x:row r="13" ht="24.299999237060547" customHeight="1">
      <x:c r="A13" s="2" t="s">
        <x:v>12</x:v>
      </x:c>
      <x:c r="B13" s="3" t="n">
        <x:f>'Article Scores'!D6</x:f>
        <x:v>83</x:v>
      </x:c>
      <x:c r="C13" s="2" t="n">
        <x:f>'Article Scores'!E6</x:f>
        <x:v>1</x:v>
      </x:c>
      <x:c r="D13" s="2" t="n">
        <x:f>'Article Scores'!F6</x:f>
        <x:v>0</x:v>
      </x:c>
      <x:c r="E13" s="2" t="str">
        <x:v>Correct retained material issue before approval</x:v>
      </x:c>
    </x:row>
    <x:row r="14" ht="24.299999237060547" customHeight="1">
      <x:c r="A14" s="2" t="s">
        <x:v>13</x:v>
      </x:c>
      <x:c r="B14" s="3" t="n">
        <x:f>'Article Scores'!D7</x:f>
        <x:v>82</x:v>
      </x:c>
      <x:c r="C14" s="2" t="n">
        <x:f>'Article Scores'!E7</x:f>
        <x:v>1</x:v>
      </x:c>
      <x:c r="D14" s="2" t="n">
        <x:f>'Article Scores'!F7</x:f>
        <x:v>0</x:v>
      </x:c>
      <x:c r="E14" s="2" t="str">
        <x:v>Correct retained material issue before approval</x:v>
      </x:c>
    </x:row>
    <x:row r="15" ht="24.299999237060547" customHeight="1">
      <x:c r="A15" s="2" t="s">
        <x:v>14</x:v>
      </x:c>
      <x:c r="B15" s="3" t="n">
        <x:f>'Article Scores'!D8</x:f>
        <x:v>89.5</x:v>
      </x:c>
      <x:c r="C15" s="2" t="n">
        <x:f>'Article Scores'!E8</x:f>
        <x:v>0</x:v>
      </x:c>
      <x:c r="D15" s="2" t="n">
        <x:f>'Article Scores'!F8</x:f>
        <x:v>0</x:v>
      </x:c>
      <x:c r="E15" s="2" t="str">
        <x:v>No retained material findings</x:v>
      </x:c>
    </x:row>
    <x:row r="16" ht="24.299999237060547" customHeight="1">
      <x:c r="A16" s="2" t="s">
        <x:v>15</x:v>
      </x:c>
      <x:c r="B16" s="3" t="n">
        <x:f>'Article Scores'!D9</x:f>
        <x:v>86.5</x:v>
      </x:c>
      <x:c r="C16" s="2" t="n">
        <x:f>'Article Scores'!E9</x:f>
        <x:v>1</x:v>
      </x:c>
      <x:c r="D16" s="2" t="n">
        <x:f>'Article Scores'!F9</x:f>
        <x:v>0</x:v>
      </x:c>
      <x:c r="E16" s="2" t="str">
        <x:v>Correct retained material issue before approval</x:v>
      </x:c>
    </x:row>
    <x:row r="17" ht="24.299999237060547" customHeight="1">
      <x:c r="A17" s="2" t="s">
        <x:v>16</x:v>
      </x:c>
      <x:c r="B17" s="3" t="n">
        <x:f>'Article Scores'!D10</x:f>
        <x:v>86.5</x:v>
      </x:c>
      <x:c r="C17" s="2" t="n">
        <x:f>'Article Scores'!E10</x:f>
        <x:v>1</x:v>
      </x:c>
      <x:c r="D17" s="2" t="n">
        <x:f>'Article Scores'!F10</x:f>
        <x:v>1</x:v>
      </x:c>
      <x:c r="E17" s="2" t="str">
        <x:v>Correct retained material issue before approval</x:v>
      </x:c>
    </x:row>
    <x:row r="20" ht="17.850000381469727" customHeight="1">
      <x:c r="A20" s="11" t="s">
        <x:v>17</x:v>
      </x:c>
      <x:c r="B20" s="11"/>
      <x:c r="C20" s="11"/>
      <x:c r="D20" s="11"/>
      <x:c r="E20" s="11"/>
      <x:c r="F20" s="11"/>
      <x:c r="G20" s="11"/>
      <x:c r="H20" s="11"/>
    </x:row>
    <x:row r="21" ht="21.75" customHeight="1">
      <x:c r="A21" s="12" t="str">
        <x:v>*70/100 remains proposed, not approved. Five articles assessed: four retained material findings and one improvement, each scored once.</x:v>
      </x:c>
      <x:c r="B21" s="12"/>
      <x:c r="C21" s="12"/>
      <x:c r="D21" s="12"/>
      <x:c r="E21" s="12"/>
      <x:c r="F21" s="12"/>
      <x:c r="G21" s="12"/>
      <x:c r="H21" s="12"/>
    </x:row>
  </x:sheetData>
  <x:mergeCells>
    <x:mergeCell ref="A1:H1"/>
    <x:mergeCell ref="A3:H3"/>
    <x:mergeCell ref="A20:H20"/>
    <x:mergeCell ref="A21:H21"/>
  </x:mergeCells>
  <x:conditionalFormatting sqref="B13:B17">
    <x:cfRule type="dataBar" priority="1">
      <x:dataBar>
        <x:cfvo type="min"/>
        <x:cfvo type="max"/>
        <x:color rgb="FF0E7490"/>
      </x:dataBar>
    </x:cfRule>
    <x:cfRule type="dataBar" priority="2">
      <x:dataBar>
        <x:cfvo type="min"/>
        <x:cfvo type="max"/>
        <x:color rgb="FF0E7490"/>
      </x:dataBar>
    </x:cfRule>
    <x:cfRule type="dataBar" priority="3">
      <x:dataBar>
        <x:cfvo type="min"/>
        <x:cfvo type="max"/>
        <x:color rgb="FF0E7490"/>
      </x:dataBar>
      <x:extLst>
        <x:ext xmlns:x14="http://schemas.microsoft.com/office/spreadsheetml/2009/9/main" uri="{B025F937-C7B1-47D3-B67F-A62EFF666E3E}">
          <x14:id>{2D2ACA86-9EB4-6F9D-F087-791D39861742}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2D2ACA86-9EB4-6F9D-F087-791D39861742}">
            <x14:dataBar gradient="0">
              <x14:cfvo type="min"/>
              <x14:cfvo type="max"/>
              <x14:fillColor rgb="FF0E7490"/>
              <x14:negativeFillColor auto="1"/>
              <x14:axisColor auto="1"/>
            </x14:dataBar>
          </x14:cfRule>
          <xm:sqref>B13:B17</xm:sqref>
        </x14:conditionalFormatting>
      </x14:conditionalFormattings>
    </x:ext>
  </x:extLst>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9" customWidth="1"/>
    <x:col min="2" max="2" width="49" customWidth="1"/>
    <x:col min="3" max="3" width="63" customWidth="1"/>
    <x:col min="4" max="6" width="18" customWidth="1"/>
    <x:col min="7" max="7" width="26" customWidth="1"/>
    <x:col min="8" max="8" width="51" customWidth="1"/>
  </x:cols>
  <x:sheetData>
    <x:row r="1" ht="36" customHeight="1">
      <x:c r="A1" s="9" t="s">
        <x:v>18</x:v>
      </x:c>
      <x:c r="B1" s="9"/>
      <x:c r="C1" s="9"/>
      <x:c r="D1" s="9"/>
      <x:c r="E1" s="9"/>
      <x:c r="F1" s="9"/>
      <x:c r="G1" s="9"/>
      <x:c r="H1" s="9"/>
    </x:row>
    <x:row r="3" ht="27" customHeight="1">
      <x:c r="A3" s="13" t="str">
        <x:v>Current management-calibrated assessment · 5 articles · Hassan/Fizza approved layout</x:v>
      </x:c>
      <x:c r="B3" s="13"/>
      <x:c r="C3" s="13"/>
      <x:c r="D3" s="13"/>
      <x:c r="E3" s="13"/>
      <x:c r="F3" s="13"/>
      <x:c r="G3" s="13"/>
      <x:c r="H3" s="13"/>
    </x:row>
    <x:row r="5" ht="31.950000762939453" customHeight="1">
      <x:c r="A5" s="1" t="s">
        <x:v>19</x:v>
      </x:c>
      <x:c r="B5" s="1" t="s">
        <x:v>7</x:v>
      </x:c>
      <x:c r="C5" s="1" t="s">
        <x:v>20</x:v>
      </x:c>
      <x:c r="D5" s="1" t="s">
        <x:v>8</x:v>
      </x:c>
      <x:c r="E5" s="1" t="s">
        <x:v>9</x:v>
      </x:c>
      <x:c r="F5" s="1" t="s">
        <x:v>10</x:v>
      </x:c>
      <x:c r="G5" s="1" t="s">
        <x:v>21</x:v>
      </x:c>
      <x:c r="H5" s="1" t="s">
        <x:v>22</x:v>
      </x:c>
    </x:row>
    <x:row r="6" ht="43.95000076293945" customHeight="1">
      <x:c r="A6" s="2">
        <x:v>1</x:v>
      </x:c>
      <x:c r="B6" s="2" t="s">
        <x:v>12</x:v>
      </x:c>
      <x:c r="C6" s="2" t="s">
        <x:v>23</x:v>
      </x:c>
      <x:c r="D6" s="3" t="n">
        <x:f>SUMIF('8 Dimensions'!$A$6:$A$45,A6,'8 Dimensions'!$F$6:$F$45)</x:f>
        <x:v>83</x:v>
      </x:c>
      <x:c r="E6" s="2" t="n">
        <x:f>COUNTIFS(Issues!$B$6:$B$10,A6,Issues!$C$6:$C$10,"FAIL")</x:f>
        <x:v>1</x:v>
      </x:c>
      <x:c r="F6" s="2" t="n">
        <x:f>COUNTIFS(Issues!$B$6:$B$10,A6,Issues!$C$6:$C$10,"NEEDS IMPROVEMENT")</x:f>
        <x:v>0</x:v>
      </x:c>
      <x:c r="G6" s="2" t="str">
        <x:f>IF(D6&gt;=Executive!$B$7,"Meets proposed benchmark","Below proposed benchmark")</x:f>
        <x:v>Meets proposed benchmark</x:v>
      </x:c>
      <x:c r="H6" s="2" t="str">
        <x:v>Correct the adhesive comparison before approval.</x:v>
      </x:c>
    </x:row>
    <x:row r="7" ht="43.95000076293945" customHeight="1">
      <x:c r="A7" s="2">
        <x:v>2</x:v>
      </x:c>
      <x:c r="B7" s="2" t="s">
        <x:v>13</x:v>
      </x:c>
      <x:c r="C7" s="2" t="s">
        <x:v>24</x:v>
      </x:c>
      <x:c r="D7" s="3" t="n">
        <x:f>SUMIF('8 Dimensions'!$A$6:$A$45,A7,'8 Dimensions'!$F$6:$F$45)</x:f>
        <x:v>82</x:v>
      </x:c>
      <x:c r="E7" s="2" t="n">
        <x:f>COUNTIFS(Issues!$B$6:$B$10,A7,Issues!$C$6:$C$10,"FAIL")</x:f>
        <x:v>1</x:v>
      </x:c>
      <x:c r="F7" s="2" t="n">
        <x:f>COUNTIFS(Issues!$B$6:$B$10,A7,Issues!$C$6:$C$10,"NEEDS IMPROVEMENT")</x:f>
        <x:v>0</x:v>
      </x:c>
      <x:c r="G7" s="2" t="str">
        <x:f>IF(D7&gt;=Executive!$B$7,"Meets proposed benchmark","Below proposed benchmark")</x:f>
        <x:v>Meets proposed benchmark</x:v>
      </x:c>
      <x:c r="H7" s="2" t="str">
        <x:v>Correct the unconditional 100% foil-protection claim.</x:v>
      </x:c>
    </x:row>
    <x:row r="8" ht="43.95000076293945" customHeight="1">
      <x:c r="A8" s="2">
        <x:v>3</x:v>
      </x:c>
      <x:c r="B8" s="2" t="s">
        <x:v>14</x:v>
      </x:c>
      <x:c r="C8" s="2" t="s">
        <x:v>25</x:v>
      </x:c>
      <x:c r="D8" s="3" t="n">
        <x:f>SUMIF('8 Dimensions'!$A$6:$A$45,A8,'8 Dimensions'!$F$6:$F$45)</x:f>
        <x:v>89.5</x:v>
      </x:c>
      <x:c r="E8" s="2" t="n">
        <x:f>COUNTIFS(Issues!$B$6:$B$10,A8,Issues!$C$6:$C$10,"FAIL")</x:f>
        <x:v>0</x:v>
      </x:c>
      <x:c r="F8" s="2" t="n">
        <x:f>COUNTIFS(Issues!$B$6:$B$10,A8,Issues!$C$6:$C$10,"NEEDS IMPROVEMENT")</x:f>
        <x:v>0</x:v>
      </x:c>
      <x:c r="G8" s="2" t="str">
        <x:f>IF(D8&gt;=Executive!$B$7,"Meets proposed benchmark","Below proposed benchmark")</x:f>
        <x:v>Meets proposed benchmark</x:v>
      </x:c>
      <x:c r="H8" s="2" t="str">
        <x:v>Ready for review; no retained material findings.</x:v>
      </x:c>
    </x:row>
    <x:row r="9" ht="43.95000076293945" customHeight="1">
      <x:c r="A9" s="2">
        <x:v>4</x:v>
      </x:c>
      <x:c r="B9" s="2" t="s">
        <x:v>15</x:v>
      </x:c>
      <x:c r="C9" s="2" t="s">
        <x:v>26</x:v>
      </x:c>
      <x:c r="D9" s="3" t="n">
        <x:f>SUMIF('8 Dimensions'!$A$6:$A$45,A9,'8 Dimensions'!$F$6:$F$45)</x:f>
        <x:v>86.5</x:v>
      </x:c>
      <x:c r="E9" s="2" t="n">
        <x:f>COUNTIFS(Issues!$B$6:$B$10,A9,Issues!$C$6:$C$10,"FAIL")</x:f>
        <x:v>1</x:v>
      </x:c>
      <x:c r="F9" s="2" t="n">
        <x:f>COUNTIFS(Issues!$B$6:$B$10,A9,Issues!$C$6:$C$10,"NEEDS IMPROVEMENT")</x:f>
        <x:v>0</x:v>
      </x:c>
      <x:c r="G9" s="2" t="str">
        <x:f>IF(D9&gt;=Executive!$B$7,"Meets proposed benchmark","Below proposed benchmark")</x:f>
        <x:v>Meets proposed benchmark</x:v>
      </x:c>
      <x:c r="H9" s="2" t="str">
        <x:v>Correct buyer guidance on label-material selection.</x:v>
      </x:c>
    </x:row>
    <x:row r="10" ht="43.95000076293945" customHeight="1">
      <x:c r="A10" s="2">
        <x:v>5</x:v>
      </x:c>
      <x:c r="B10" s="2" t="s">
        <x:v>16</x:v>
      </x:c>
      <x:c r="C10" s="2" t="s">
        <x:v>27</x:v>
      </x:c>
      <x:c r="D10" s="3" t="n">
        <x:f>SUMIF('8 Dimensions'!$A$6:$A$45,A10,'8 Dimensions'!$F$6:$F$45)</x:f>
        <x:v>86.5</x:v>
      </x:c>
      <x:c r="E10" s="2" t="n">
        <x:f>COUNTIFS(Issues!$B$6:$B$10,A10,Issues!$C$6:$C$10,"FAIL")</x:f>
        <x:v>1</x:v>
      </x:c>
      <x:c r="F10" s="2" t="n">
        <x:f>COUNTIFS(Issues!$B$6:$B$10,A10,Issues!$C$6:$C$10,"NEEDS IMPROVEMENT")</x:f>
        <x:v>1</x:v>
      </x:c>
      <x:c r="G10" s="2" t="str">
        <x:f>IF(D10&gt;=Executive!$B$7,"Meets proposed benchmark","Below proposed benchmark")</x:f>
        <x:v>Meets proposed benchmark</x:v>
      </x:c>
      <x:c r="H10" s="2" t="str">
        <x:v>Correct wholesale classification; qualify rigid-box advice.</x:v>
      </x:c>
    </x:row>
  </x:sheetData>
  <x:mergeCells>
    <x:mergeCell ref="A1:H1"/>
    <x:mergeCell ref="A3:H3"/>
  </x:mergeCells>
  <x:conditionalFormatting sqref="D6:D10">
    <x:cfRule type="dataBar" priority="1">
      <x:dataBar>
        <x:cfvo type="min"/>
        <x:cfvo type="max"/>
        <x:color rgb="FF0E7490"/>
      </x:dataBar>
    </x:cfRule>
    <x:cfRule type="dataBar" priority="2">
      <x:dataBar>
        <x:cfvo type="min"/>
        <x:cfvo type="max"/>
        <x:color rgb="FF0E7490"/>
      </x:dataBar>
    </x:cfRule>
    <x:cfRule type="dataBar" priority="3">
      <x:dataBar>
        <x:cfvo type="min"/>
        <x:cfvo type="max"/>
        <x:color rgb="FF0E7490"/>
      </x:dataBar>
      <x:extLst>
        <x:ext xmlns:x14="http://schemas.microsoft.com/office/spreadsheetml/2009/9/main" uri="{B025F937-C7B1-47D3-B67F-A62EFF666E3E}">
          <x14:id>{D21D654A-EC92-0670-6565-E25FCA28AA82}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D21D654A-EC92-0670-6565-E25FCA28AA82}">
            <x14:dataBar gradient="0">
              <x14:cfvo type="min"/>
              <x14:cfvo type="max"/>
              <x14:fillColor rgb="FF0E7490"/>
              <x14:negativeFillColor auto="1"/>
              <x14:axisColor auto="1"/>
            </x14:dataBar>
          </x14:cfRule>
          <xm:sqref>D6:D10</xm:sqref>
        </x14:conditionalFormatting>
      </x14:conditionalFormattings>
    </x:ext>
  </x:extLst>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1" customWidth="1"/>
    <x:col min="2" max="2" width="24" customWidth="1"/>
    <x:col min="3" max="3" width="39" customWidth="1"/>
    <x:col min="4" max="4" width="14" customWidth="1"/>
    <x:col min="5" max="5" width="15" customWidth="1"/>
    <x:col min="6" max="6" width="20" customWidth="1"/>
    <x:col min="7" max="7" width="31" customWidth="1"/>
    <x:col min="8" max="8" width="107" customWidth="1"/>
  </x:cols>
  <x:sheetData>
    <x:row r="1" ht="36" customHeight="1">
      <x:c r="A1" s="9" t="s">
        <x:v>28</x:v>
      </x:c>
      <x:c r="B1" s="9"/>
      <x:c r="C1" s="9"/>
      <x:c r="D1" s="9"/>
      <x:c r="E1" s="9"/>
      <x:c r="F1" s="9"/>
      <x:c r="G1" s="9"/>
      <x:c r="H1" s="9"/>
    </x:row>
    <x:row r="3" ht="27" customHeight="1">
      <x:c r="A3" s="13" t="s">
        <x:v>29</x:v>
      </x:c>
      <x:c r="B3" s="13"/>
      <x:c r="C3" s="13"/>
      <x:c r="D3" s="13"/>
      <x:c r="E3" s="13"/>
      <x:c r="F3" s="13"/>
      <x:c r="G3" s="13"/>
      <x:c r="H3" s="13"/>
    </x:row>
    <x:row r="5" ht="31.950000762939453" customHeight="1">
      <x:c r="A5" s="1" t="s">
        <x:v>30</x:v>
      </x:c>
      <x:c r="B5" s="1" t="s">
        <x:v>7</x:v>
      </x:c>
      <x:c r="C5" s="1" t="s">
        <x:v>31</x:v>
      </x:c>
      <x:c r="D5" s="1" t="s">
        <x:v>32</x:v>
      </x:c>
      <x:c r="E5" s="1" t="s">
        <x:v>33</x:v>
      </x:c>
      <x:c r="F5" s="1" t="s">
        <x:v>34</x:v>
      </x:c>
      <x:c r="G5" s="1" t="s">
        <x:v>35</x:v>
      </x:c>
      <x:c r="H5" s="1" t="s">
        <x:v>36</x:v>
      </x:c>
    </x:row>
    <x:row r="6" ht="49.04999923706055" customHeight="1">
      <x:c r="A6" s="2">
        <x:v>1</x:v>
      </x:c>
      <x:c r="B6" s="2" t="s">
        <x:v>12</x:v>
      </x:c>
      <x:c r="C6" s="2" t="s">
        <x:v>37</x:v>
      </x:c>
      <x:c r="D6" s="2">
        <x:v>15</x:v>
      </x:c>
      <x:c r="E6" s="3" t="n">
        <x:v>4.5</x:v>
      </x:c>
      <x:c r="F6" s="3" t="n">
        <x:f>D6*E6/5</x:f>
        <x:v>13.5</x:v>
      </x:c>
      <x:c r="G6" s="2"/>
      <x:c r="H6" s="2" t="str">
        <x:v>Answers the affordable holiday-branding question and explains label/sticker applications.</x:v>
      </x:c>
    </x:row>
    <x:row r="7" ht="49.04999923706055" customHeight="1">
      <x:c r="A7" s="2">
        <x:v>1</x:v>
      </x:c>
      <x:c r="B7" s="2" t="s">
        <x:v>12</x:v>
      </x:c>
      <x:c r="C7" s="2" t="s">
        <x:v>38</x:v>
      </x:c>
      <x:c r="D7" s="2">
        <x:v>15</x:v>
      </x:c>
      <x:c r="E7" s="3" t="n">
        <x:v>3.5</x:v>
      </x:c>
      <x:c r="F7" s="3" t="n">
        <x:f>D7*E7/5</x:f>
        <x:v>10.5</x:v>
      </x:c>
      <x:c r="G7" s="2" t="str">
        <x:v>MH-B01-01</x:v>
      </x:c>
      <x:c r="H7" s="2" t="str">
        <x:v>The labels-versus-stickers comparison incorrectly treats adhesive permanence as determined by product name; printer and substrate choices need buyer clarity.</x:v>
      </x:c>
    </x:row>
    <x:row r="8" ht="49.04999923706055" customHeight="1">
      <x:c r="A8" s="2">
        <x:v>1</x:v>
      </x:c>
      <x:c r="B8" s="2" t="s">
        <x:v>12</x:v>
      </x:c>
      <x:c r="C8" s="2" t="s">
        <x:v>39</x:v>
      </x:c>
      <x:c r="D8" s="2">
        <x:v>20</x:v>
      </x:c>
      <x:c r="E8" s="3" t="n">
        <x:v>4</x:v>
      </x:c>
      <x:c r="F8" s="3" t="n">
        <x:f>D8*E8/5</x:f>
        <x:v>16</x:v>
      </x:c>
      <x:c r="G8" s="2"/>
      <x:c r="H8" s="2" t="str">
        <x:v>Covers holiday address labels, branding, sealing, buying steps, and sheet/roll formats.</x:v>
      </x:c>
    </x:row>
    <x:row r="9" ht="49.04999923706055" customHeight="1">
      <x:c r="A9" s="2">
        <x:v>1</x:v>
      </x:c>
      <x:c r="B9" s="2" t="s">
        <x:v>12</x:v>
      </x:c>
      <x:c r="C9" s="2" t="s">
        <x:v>40</x:v>
      </x:c>
      <x:c r="D9" s="2">
        <x:v>15</x:v>
      </x:c>
      <x:c r="E9" s="3" t="n">
        <x:v>4</x:v>
      </x:c>
      <x:c r="F9" s="3" t="n">
        <x:f>D9*E9/5</x:f>
        <x:v>12</x:v>
      </x:c>
      <x:c r="G9" s="2"/>
      <x:c r="H9" s="2" t="str">
        <x:v>Useful seasonal buying and ordering guidance; the retained adhesive comparison needs correction for informed material selection.</x:v>
      </x:c>
    </x:row>
    <x:row r="10" ht="49.04999923706055" customHeight="1">
      <x:c r="A10" s="2">
        <x:v>1</x:v>
      </x:c>
      <x:c r="B10" s="2" t="s">
        <x:v>12</x:v>
      </x:c>
      <x:c r="C10" s="2" t="s">
        <x:v>41</x:v>
      </x:c>
      <x:c r="D10" s="2">
        <x:v>10</x:v>
      </x:c>
      <x:c r="E10" s="3" t="n">
        <x:v>4.5</x:v>
      </x:c>
      <x:c r="F10" s="3" t="n">
        <x:f>D10*E10/5</x:f>
        <x:v>9</x:v>
      </x:c>
      <x:c r="G10" s="2"/>
      <x:c r="H10" s="2" t="str">
        <x:v>Clear seasonal setup followed by types, purchasing steps and FAQ; normal promotion is acceptable.</x:v>
      </x:c>
    </x:row>
    <x:row r="11" ht="49.04999923706055" customHeight="1">
      <x:c r="A11" s="2">
        <x:v>1</x:v>
      </x:c>
      <x:c r="B11" s="2" t="s">
        <x:v>12</x:v>
      </x:c>
      <x:c r="C11" s="2" t="s">
        <x:v>42</x:v>
      </x:c>
      <x:c r="D11" s="2">
        <x:v>10</x:v>
      </x:c>
      <x:c r="E11" s="3" t="n">
        <x:v>4.5</x:v>
      </x:c>
      <x:c r="F11" s="3" t="n">
        <x:f>D11*E11/5</x:f>
        <x:v>9</x:v>
      </x:c>
      <x:c r="G11" s="2"/>
      <x:c r="H11" s="2" t="str">
        <x:v>Christmas label/sticker terms are integrated naturally across appropriate headings.</x:v>
      </x:c>
    </x:row>
    <x:row r="12" ht="49.04999923706055" customHeight="1">
      <x:c r="A12" s="2">
        <x:v>1</x:v>
      </x:c>
      <x:c r="B12" s="2" t="s">
        <x:v>12</x:v>
      </x:c>
      <x:c r="C12" s="2" t="s">
        <x:v>43</x:v>
      </x:c>
      <x:c r="D12" s="2">
        <x:v>10</x:v>
      </x:c>
      <x:c r="E12" s="3" t="n">
        <x:v>4.5</x:v>
      </x:c>
      <x:c r="F12" s="3" t="n">
        <x:f>D12*E12/5</x:f>
        <x:v>9</x:v>
      </x:c>
      <x:c r="G12" s="2"/>
      <x:c r="H12" s="2" t="str">
        <x:v>Directly addresses small e-commerce businesses using labels to seasonally update standard stock.</x:v>
      </x:c>
    </x:row>
    <x:row r="13" ht="49.04999923706055" customHeight="1">
      <x:c r="A13" s="2">
        <x:v>1</x:v>
      </x:c>
      <x:c r="B13" s="2" t="s">
        <x:v>12</x:v>
      </x:c>
      <x:c r="C13" s="2" t="s">
        <x:v>44</x:v>
      </x:c>
      <x:c r="D13" s="2">
        <x:v>5</x:v>
      </x:c>
      <x:c r="E13" s="3" t="n">
        <x:v>4</x:v>
      </x:c>
      <x:c r="F13" s="3" t="n">
        <x:f>D13*E13/5</x:f>
        <x:v>4</x:v>
      </x:c>
      <x:c r="G13" s="2"/>
      <x:c r="H13" s="2" t="str">
        <x:v>Readable and persuasive in US B2B context; some exuberant marketing is acceptable.</x:v>
      </x:c>
    </x:row>
    <x:row r="14" ht="49.04999923706055" customHeight="1">
      <x:c r="A14" s="2">
        <x:v>2</x:v>
      </x:c>
      <x:c r="B14" s="2" t="s">
        <x:v>13</x:v>
      </x:c>
      <x:c r="C14" s="2" t="s">
        <x:v>37</x:v>
      </x:c>
      <x:c r="D14" s="2">
        <x:v>15</x:v>
      </x:c>
      <x:c r="E14" s="3" t="n">
        <x:v>4.5</x:v>
      </x:c>
      <x:c r="F14" s="3" t="n">
        <x:f>D14*E14/5</x:f>
        <x:v>13.5</x:v>
      </x:c>
      <x:c r="G14" s="2"/>
      <x:c r="H14" s="2" t="str">
        <x:v>The opening defines sachets and positions them against stick packs and larger pouches.</x:v>
      </x:c>
    </x:row>
    <x:row r="15" ht="49.04999923706055" customHeight="1">
      <x:c r="A15" s="2">
        <x:v>2</x:v>
      </x:c>
      <x:c r="B15" s="2" t="s">
        <x:v>13</x:v>
      </x:c>
      <x:c r="C15" s="2" t="s">
        <x:v>38</x:v>
      </x:c>
      <x:c r="D15" s="2">
        <x:v>15</x:v>
      </x:c>
      <x:c r="E15" s="3" t="n">
        <x:v>3.5</x:v>
      </x:c>
      <x:c r="F15" s="3" t="n">
        <x:f>D15*E15/5</x:f>
        <x:v>10.5</x:v>
      </x:c>
      <x:c r="G15" s="2" t="str">
        <x:v>MH-B02-02</x:v>
      </x:c>
      <x:c r="H15" s="2" t="str">
        <x:v>One retained technical error: a 100% foil-protection statement could cause buyers to overestimate the sachet barrier. The remaining factual coverage is generally useful.</x:v>
      </x:c>
    </x:row>
    <x:row r="16" ht="49.04999923706055" customHeight="1">
      <x:c r="A16" s="2">
        <x:v>2</x:v>
      </x:c>
      <x:c r="B16" s="2" t="s">
        <x:v>13</x:v>
      </x:c>
      <x:c r="C16" s="2" t="s">
        <x:v>39</x:v>
      </x:c>
      <x:c r="D16" s="2">
        <x:v>20</x:v>
      </x:c>
      <x:c r="E16" s="3" t="n">
        <x:v>4</x:v>
      </x:c>
      <x:c r="F16" s="3" t="n">
        <x:f>D16*E16/5</x:f>
        <x:v>16</x:v>
      </x:c>
      <x:c r="G16" s="2"/>
      <x:c r="H16" s="2" t="str">
        <x:v>Covers 3/4-side, stick packs, foil/paper/laminate/compostable films and major industries.</x:v>
      </x:c>
    </x:row>
    <x:row r="17" ht="49.04999923706055" customHeight="1">
      <x:c r="A17" s="2">
        <x:v>2</x:v>
      </x:c>
      <x:c r="B17" s="2" t="s">
        <x:v>13</x:v>
      </x:c>
      <x:c r="C17" s="2" t="s">
        <x:v>40</x:v>
      </x:c>
      <x:c r="D17" s="2">
        <x:v>15</x:v>
      </x:c>
      <x:c r="E17" s="3" t="n">
        <x:v>4</x:v>
      </x:c>
      <x:c r="F17" s="3" t="n">
        <x:f>D17*E17/5</x:f>
        <x:v>12</x:v>
      </x:c>
      <x:c r="G17" s="2"/>
      <x:c r="H17" s="2" t="str">
        <x:v>Useful comparisons and B2B format guidance; the remaining 100% foil claim needs correction so buyers do not infer total protection.</x:v>
      </x:c>
    </x:row>
    <x:row r="18" ht="49.04999923706055" customHeight="1">
      <x:c r="A18" s="2">
        <x:v>2</x:v>
      </x:c>
      <x:c r="B18" s="2" t="s">
        <x:v>13</x:v>
      </x:c>
      <x:c r="C18" s="2" t="s">
        <x:v>41</x:v>
      </x:c>
      <x:c r="D18" s="2">
        <x:v>10</x:v>
      </x:c>
      <x:c r="E18" s="3" t="n">
        <x:v>4</x:v>
      </x:c>
      <x:c r="F18" s="3" t="n">
        <x:f>D18*E18/5</x:f>
        <x:v>8</x:v>
      </x:c>
      <x:c r="G18" s="2"/>
      <x:c r="H18" s="2" t="str">
        <x:v>Good topical progression with pertinent industry examples; minor awkwardness not separately penalized.</x:v>
      </x:c>
    </x:row>
    <x:row r="19" ht="49.04999923706055" customHeight="1">
      <x:c r="A19" s="2">
        <x:v>2</x:v>
      </x:c>
      <x:c r="B19" s="2" t="s">
        <x:v>13</x:v>
      </x:c>
      <x:c r="C19" s="2" t="s">
        <x:v>42</x:v>
      </x:c>
      <x:c r="D19" s="2">
        <x:v>10</x:v>
      </x:c>
      <x:c r="E19" s="3" t="n">
        <x:v>4.5</x:v>
      </x:c>
      <x:c r="F19" s="3" t="n">
        <x:f>D19*E19/5</x:f>
        <x:v>9</x:v>
      </x:c>
      <x:c r="G19" s="2"/>
      <x:c r="H19" s="2" t="str">
        <x:v>Sachet, stick pack, barrier film and application terms fit the topic naturally.</x:v>
      </x:c>
    </x:row>
    <x:row r="20" ht="49.04999923706055" customHeight="1">
      <x:c r="A20" s="2">
        <x:v>2</x:v>
      </x:c>
      <x:c r="B20" s="2" t="s">
        <x:v>13</x:v>
      </x:c>
      <x:c r="C20" s="2" t="s">
        <x:v>43</x:v>
      </x:c>
      <x:c r="D20" s="2">
        <x:v>10</x:v>
      </x:c>
      <x:c r="E20" s="3" t="n">
        <x:v>4.5</x:v>
      </x:c>
      <x:c r="F20" s="3" t="n">
        <x:f>D20*E20/5</x:f>
        <x:v>9</x:v>
      </x:c>
      <x:c r="G20" s="2"/>
      <x:c r="H20" s="2" t="str">
        <x:v>Strong cross-industry scenarios for trials, foods, cosmetics and medical applications.</x:v>
      </x:c>
    </x:row>
    <x:row r="21" ht="49.04999923706055" customHeight="1">
      <x:c r="A21" s="2">
        <x:v>2</x:v>
      </x:c>
      <x:c r="B21" s="2" t="s">
        <x:v>13</x:v>
      </x:c>
      <x:c r="C21" s="2" t="s">
        <x:v>44</x:v>
      </x:c>
      <x:c r="D21" s="2">
        <x:v>5</x:v>
      </x:c>
      <x:c r="E21" s="3" t="n">
        <x:v>4</x:v>
      </x:c>
      <x:c r="F21" s="3" t="n">
        <x:f>D21*E21/5</x:f>
        <x:v>4</x:v>
      </x:c>
      <x:c r="G21" s="2"/>
      <x:c r="H21" s="2" t="str">
        <x:v>Clear, readable technical explanation overall; the remaining absolute 100% barrier statement requires careful factual editing.</x:v>
      </x:c>
    </x:row>
    <x:row r="22" ht="49.04999923706055" customHeight="1">
      <x:c r="A22" s="2">
        <x:v>3</x:v>
      </x:c>
      <x:c r="B22" s="2" t="s">
        <x:v>14</x:v>
      </x:c>
      <x:c r="C22" s="2" t="s">
        <x:v>37</x:v>
      </x:c>
      <x:c r="D22" s="2">
        <x:v>15</x:v>
      </x:c>
      <x:c r="E22" s="3" t="n">
        <x:v>4.5</x:v>
      </x:c>
      <x:c r="F22" s="3" t="n">
        <x:f>D22*E22/5</x:f>
        <x:v>13.5</x:v>
      </x:c>
      <x:c r="G22" s="2"/>
      <x:c r="H22" s="2" t="str">
        <x:v>A clear 15-idea promise is fully delivered with holiday and everyday tag concepts.</x:v>
      </x:c>
    </x:row>
    <x:row r="23" ht="49.04999923706055" customHeight="1">
      <x:c r="A23" s="2">
        <x:v>3</x:v>
      </x:c>
      <x:c r="B23" s="2" t="s">
        <x:v>14</x:v>
      </x:c>
      <x:c r="C23" s="2" t="s">
        <x:v>38</x:v>
      </x:c>
      <x:c r="D23" s="2">
        <x:v>15</x:v>
      </x:c>
      <x:c r="E23" s="3" t="n">
        <x:v>4.5</x:v>
      </x:c>
      <x:c r="F23" s="3" t="n">
        <x:f>D23*E23/5</x:f>
        <x:v>13.5</x:v>
      </x:c>
      <x:c r="G23" s="2"/>
      <x:c r="H23" s="2" t="str">
        <x:v>No retained material factual errors in the final management-approved issue register.</x:v>
      </x:c>
    </x:row>
    <x:row r="24" ht="49.04999923706055" customHeight="1">
      <x:c r="A24" s="2">
        <x:v>3</x:v>
      </x:c>
      <x:c r="B24" s="2" t="s">
        <x:v>14</x:v>
      </x:c>
      <x:c r="C24" s="2" t="s">
        <x:v>39</x:v>
      </x:c>
      <x:c r="D24" s="2">
        <x:v>20</x:v>
      </x:c>
      <x:c r="E24" s="3" t="n">
        <x:v>4.5</x:v>
      </x:c>
      <x:c r="F24" s="3" t="n">
        <x:f>D24*E24/5</x:f>
        <x:v>18</x:v>
      </x:c>
      <x:c r="G24" s="2"/>
      <x:c r="H24" s="2" t="str">
        <x:v>15 ideas, DIY vs print comparison, ordering guidance, paper/finish choices and seasonal planning.</x:v>
      </x:c>
    </x:row>
    <x:row r="25" ht="49.04999923706055" customHeight="1">
      <x:c r="A25" s="2">
        <x:v>3</x:v>
      </x:c>
      <x:c r="B25" s="2" t="s">
        <x:v>14</x:v>
      </x:c>
      <x:c r="C25" s="2" t="s">
        <x:v>40</x:v>
      </x:c>
      <x:c r="D25" s="2">
        <x:v>15</x:v>
      </x:c>
      <x:c r="E25" s="3" t="n">
        <x:v>4.5</x:v>
      </x:c>
      <x:c r="F25" s="3" t="n">
        <x:f>D25*E25/5</x:f>
        <x:v>13.5</x:v>
      </x:c>
      <x:c r="G25" s="2"/>
      <x:c r="H25" s="2" t="str">
        <x:v>The 15-idea guide provides useful applications and a DIY-versus-custom comparison; the removed optional attachment recommendation carries no penalty.</x:v>
      </x:c>
    </x:row>
    <x:row r="26" ht="49.04999923706055" customHeight="1">
      <x:c r="A26" s="2">
        <x:v>3</x:v>
      </x:c>
      <x:c r="B26" s="2" t="s">
        <x:v>14</x:v>
      </x:c>
      <x:c r="C26" s="2" t="s">
        <x:v>41</x:v>
      </x:c>
      <x:c r="D26" s="2">
        <x:v>10</x:v>
      </x:c>
      <x:c r="E26" s="3" t="n">
        <x:v>4.5</x:v>
      </x:c>
      <x:c r="F26" s="3" t="n">
        <x:f>D26*E26/5</x:f>
        <x:v>9</x:v>
      </x:c>
      <x:c r="G26" s="2"/>
      <x:c r="H26" s="2" t="str">
        <x:v>Organized list of 15 with sensible purchasing/production sections.</x:v>
      </x:c>
    </x:row>
    <x:row r="27" ht="49.04999923706055" customHeight="1">
      <x:c r="A27" s="2">
        <x:v>3</x:v>
      </x:c>
      <x:c r="B27" s="2" t="s">
        <x:v>14</x:v>
      </x:c>
      <x:c r="C27" s="2" t="s">
        <x:v>42</x:v>
      </x:c>
      <x:c r="D27" s="2">
        <x:v>10</x:v>
      </x:c>
      <x:c r="E27" s="3" t="n">
        <x:v>4.5</x:v>
      </x:c>
      <x:c r="F27" s="3" t="n">
        <x:f>D27*E27/5</x:f>
        <x:v>9</x:v>
      </x:c>
      <x:c r="G27" s="2"/>
      <x:c r="H27" s="2" t="str">
        <x:v>Keyword and variants used in natural idea-oriented headings and text.</x:v>
      </x:c>
    </x:row>
    <x:row r="28" ht="49.04999923706055" customHeight="1">
      <x:c r="A28" s="2">
        <x:v>3</x:v>
      </x:c>
      <x:c r="B28" s="2" t="s">
        <x:v>14</x:v>
      </x:c>
      <x:c r="C28" s="2" t="s">
        <x:v>43</x:v>
      </x:c>
      <x:c r="D28" s="2">
        <x:v>10</x:v>
      </x:c>
      <x:c r="E28" s="3" t="n">
        <x:v>4.5</x:v>
      </x:c>
      <x:c r="F28" s="3" t="n">
        <x:f>D28*E28/5</x:f>
        <x:v>9</x:v>
      </x:c>
      <x:c r="G28" s="2"/>
      <x:c r="H28" s="2" t="str">
        <x:v>Focus on retail tag uses, bulk procurement, material choice and lead-time planning.</x:v>
      </x:c>
    </x:row>
    <x:row r="29" ht="49.04999923706055" customHeight="1">
      <x:c r="A29" s="2">
        <x:v>3</x:v>
      </x:c>
      <x:c r="B29" s="2" t="s">
        <x:v>14</x:v>
      </x:c>
      <x:c r="C29" s="2" t="s">
        <x:v>44</x:v>
      </x:c>
      <x:c r="D29" s="2">
        <x:v>5</x:v>
      </x:c>
      <x:c r="E29" s="3" t="n">
        <x:v>4</x:v>
      </x:c>
      <x:c r="F29" s="3" t="n">
        <x:f>D29*E29/5</x:f>
        <x:v>4</x:v>
      </x:c>
      <x:c r="G29" s="2"/>
      <x:c r="H29" s="2" t="str">
        <x:v>Minor grammar inconsistencies are not material to reader comprehension.</x:v>
      </x:c>
    </x:row>
    <x:row r="30" ht="49.04999923706055" customHeight="1">
      <x:c r="A30" s="2">
        <x:v>4</x:v>
      </x:c>
      <x:c r="B30" s="2" t="s">
        <x:v>15</x:v>
      </x:c>
      <x:c r="C30" s="2" t="s">
        <x:v>37</x:v>
      </x:c>
      <x:c r="D30" s="2">
        <x:v>15</x:v>
      </x:c>
      <x:c r="E30" s="3" t="n">
        <x:v>4.5</x:v>
      </x:c>
      <x:c r="F30" s="3" t="n">
        <x:f>D30*E30/5</x:f>
        <x:v>13.5</x:v>
      </x:c>
      <x:c r="G30" s="2"/>
      <x:c r="H30" s="2" t="str">
        <x:v>Answers the requested label types/sizes/materials with printer and shipping methods.</x:v>
      </x:c>
    </x:row>
    <x:row r="31" ht="49.04999923706055" customHeight="1">
      <x:c r="A31" s="2">
        <x:v>4</x:v>
      </x:c>
      <x:c r="B31" s="2" t="s">
        <x:v>15</x:v>
      </x:c>
      <x:c r="C31" s="2" t="s">
        <x:v>38</x:v>
      </x:c>
      <x:c r="D31" s="2">
        <x:v>15</x:v>
      </x:c>
      <x:c r="E31" s="3" t="n">
        <x:v>4</x:v>
      </x:c>
      <x:c r="F31" s="3" t="n">
        <x:f>D31*E31/5</x:f>
        <x:v>12</x:v>
      </x:c>
      <x:c r="G31" s="2" t="str">
        <x:v>MH-B04-01</x:v>
      </x:c>
      <x:c r="H31" s="2" t="str">
        <x:v>The retained material weakness is the claim that print technology alone decides label material; previously excluded format/print claims are not scored.</x:v>
      </x:c>
    </x:row>
    <x:row r="32" ht="49.04999923706055" customHeight="1">
      <x:c r="A32" s="2">
        <x:v>4</x:v>
      </x:c>
      <x:c r="B32" s="2" t="s">
        <x:v>15</x:v>
      </x:c>
      <x:c r="C32" s="2" t="s">
        <x:v>39</x:v>
      </x:c>
      <x:c r="D32" s="2">
        <x:v>20</x:v>
      </x:c>
      <x:c r="E32" s="3" t="n">
        <x:v>4.5</x:v>
      </x:c>
      <x:c r="F32" s="3" t="n">
        <x:f>D32*E32/5</x:f>
        <x:v>18</x:v>
      </x:c>
      <x:c r="G32" s="2"/>
      <x:c r="H32" s="2" t="str">
        <x:v>Covers return labels, standard sheet sizes, 4x6 roll format, media and print methods.</x:v>
      </x:c>
    </x:row>
    <x:row r="33" ht="49.04999923706055" customHeight="1">
      <x:c r="A33" s="2">
        <x:v>4</x:v>
      </x:c>
      <x:c r="B33" s="2" t="s">
        <x:v>15</x:v>
      </x:c>
      <x:c r="C33" s="2" t="s">
        <x:v>40</x:v>
      </x:c>
      <x:c r="D33" s="2">
        <x:v>15</x:v>
      </x:c>
      <x:c r="E33" s="3" t="n">
        <x:v>4</x:v>
      </x:c>
      <x:c r="F33" s="3" t="n">
        <x:f>D33*E33/5</x:f>
        <x:v>12</x:v>
      </x:c>
      <x:c r="G33" s="2"/>
      <x:c r="H33" s="2" t="str">
        <x:v>Helpful sizes, media and mailing workflows; the retained printer-only material-choice claim could lead an inexperienced buyer to order unsuitable labels.</x:v>
      </x:c>
    </x:row>
    <x:row r="34" ht="49.04999923706055" customHeight="1">
      <x:c r="A34" s="2">
        <x:v>4</x:v>
      </x:c>
      <x:c r="B34" s="2" t="s">
        <x:v>15</x:v>
      </x:c>
      <x:c r="C34" s="2" t="s">
        <x:v>41</x:v>
      </x:c>
      <x:c r="D34" s="2">
        <x:v>10</x:v>
      </x:c>
      <x:c r="E34" s="3" t="n">
        <x:v>4.5</x:v>
      </x:c>
      <x:c r="F34" s="3" t="n">
        <x:f>D34*E34/5</x:f>
        <x:v>9</x:v>
      </x:c>
      <x:c r="G34" s="2"/>
      <x:c r="H34" s="2" t="str">
        <x:v>Structured buyer-oriented guide; minor copyediting defects are not scored as material failures.</x:v>
      </x:c>
    </x:row>
    <x:row r="35" ht="49.04999923706055" customHeight="1">
      <x:c r="A35" s="2">
        <x:v>4</x:v>
      </x:c>
      <x:c r="B35" s="2" t="s">
        <x:v>15</x:v>
      </x:c>
      <x:c r="C35" s="2" t="s">
        <x:v>42</x:v>
      </x:c>
      <x:c r="D35" s="2">
        <x:v>10</x:v>
      </x:c>
      <x:c r="E35" s="3" t="n">
        <x:v>4.5</x:v>
      </x:c>
      <x:c r="F35" s="3" t="n">
        <x:f>D35*E35/5</x:f>
        <x:v>9</x:v>
      </x:c>
      <x:c r="G35" s="2"/>
      <x:c r="H35" s="2" t="str">
        <x:v>Address-label variants align with natural headings and shipping use cases.</x:v>
      </x:c>
    </x:row>
    <x:row r="36" ht="49.04999923706055" customHeight="1">
      <x:c r="A36" s="2">
        <x:v>4</x:v>
      </x:c>
      <x:c r="B36" s="2" t="s">
        <x:v>15</x:v>
      </x:c>
      <x:c r="C36" s="2" t="s">
        <x:v>43</x:v>
      </x:c>
      <x:c r="D36" s="2">
        <x:v>10</x:v>
      </x:c>
      <x:c r="E36" s="3" t="n">
        <x:v>4.5</x:v>
      </x:c>
      <x:c r="F36" s="3" t="n">
        <x:f>D36*E36/5</x:f>
        <x:v>9</x:v>
      </x:c>
      <x:c r="G36" s="2"/>
      <x:c r="H36" s="2" t="str">
        <x:v>Specific guidance for e-commerce shipping, mail merge and label media.</x:v>
      </x:c>
    </x:row>
    <x:row r="37" ht="49.04999923706055" customHeight="1">
      <x:c r="A37" s="2">
        <x:v>4</x:v>
      </x:c>
      <x:c r="B37" s="2" t="s">
        <x:v>15</x:v>
      </x:c>
      <x:c r="C37" s="2" t="s">
        <x:v>44</x:v>
      </x:c>
      <x:c r="D37" s="2">
        <x:v>5</x:v>
      </x:c>
      <x:c r="E37" s="3" t="n">
        <x:v>4</x:v>
      </x:c>
      <x:c r="F37" s="3" t="n">
        <x:f>D37*E37/5</x:f>
        <x:v>4</x:v>
      </x:c>
      <x:c r="G37" s="2"/>
      <x:c r="H37" s="2" t="str">
        <x:v>Tone and American English are functional; isolated typos do not outweigh useful directions.</x:v>
      </x:c>
    </x:row>
    <x:row r="38" ht="49.04999923706055" customHeight="1">
      <x:c r="A38" s="2">
        <x:v>5</x:v>
      </x:c>
      <x:c r="B38" s="2" t="s">
        <x:v>16</x:v>
      </x:c>
      <x:c r="C38" s="2" t="s">
        <x:v>37</x:v>
      </x:c>
      <x:c r="D38" s="2">
        <x:v>15</x:v>
      </x:c>
      <x:c r="E38" s="3" t="n">
        <x:v>4.5</x:v>
      </x:c>
      <x:c r="F38" s="3" t="n">
        <x:f>D38*E38/5</x:f>
        <x:v>13.5</x:v>
      </x:c>
      <x:c r="G38" s="2"/>
      <x:c r="H38" s="2" t="str">
        <x:v>Follows the how-to intent with five decision steps for clothing-brand buyers.</x:v>
      </x:c>
    </x:row>
    <x:row r="39" ht="49.04999923706055" customHeight="1">
      <x:c r="A39" s="2">
        <x:v>5</x:v>
      </x:c>
      <x:c r="B39" s="2" t="s">
        <x:v>16</x:v>
      </x:c>
      <x:c r="C39" s="2" t="s">
        <x:v>38</x:v>
      </x:c>
      <x:c r="D39" s="2">
        <x:v>15</x:v>
      </x:c>
      <x:c r="E39" s="3" t="n">
        <x:v>3.5</x:v>
      </x:c>
      <x:c r="F39" s="3" t="n">
        <x:f>D39*E39/5</x:f>
        <x:v>10.5</x:v>
      </x:c>
      <x:c r="G39" s="2" t="str">
        <x:v>MH-B05-01</x:v>
      </x:c>
      <x:c r="H39" s="2" t="str">
        <x:v>Wholesale is mistakenly presented alongside stock and custom as a separate box type; the rigid-box recommendation should be less categorical.</x:v>
      </x:c>
    </x:row>
    <x:row r="40" ht="49.04999923706055" customHeight="1">
      <x:c r="A40" s="2">
        <x:v>5</x:v>
      </x:c>
      <x:c r="B40" s="2" t="s">
        <x:v>16</x:v>
      </x:c>
      <x:c r="C40" s="2" t="s">
        <x:v>39</x:v>
      </x:c>
      <x:c r="D40" s="2">
        <x:v>20</x:v>
      </x:c>
      <x:c r="E40" s="3" t="n">
        <x:v>4.5</x:v>
      </x:c>
      <x:c r="F40" s="3" t="n">
        <x:f>D40*E40/5</x:f>
        <x:v>18</x:v>
      </x:c>
      <x:c r="G40" s="2"/>
      <x:c r="H40" s="2" t="str">
        <x:v>Covers garment type, sizing, protection, finish, purchasing volume and seasonal ordering.</x:v>
      </x:c>
    </x:row>
    <x:row r="41" ht="49.04999923706055" customHeight="1">
      <x:c r="A41" s="2">
        <x:v>5</x:v>
      </x:c>
      <x:c r="B41" s="2" t="s">
        <x:v>16</x:v>
      </x:c>
      <x:c r="C41" s="2" t="s">
        <x:v>40</x:v>
      </x:c>
      <x:c r="D41" s="2">
        <x:v>15</x:v>
      </x:c>
      <x:c r="E41" s="3" t="n">
        <x:v>4.5</x:v>
      </x:c>
      <x:c r="F41" s="3" t="n">
        <x:f>D41*E41/5</x:f>
        <x:v>13.5</x:v>
      </x:c>
      <x:c r="G41" s="2" t="str">
        <x:v>MH-B05-02</x:v>
      </x:c>
      <x:c r="H41" s="2" t="str">
        <x:v>Actionable folded-garment sizing and buying guidance; wholesale classification is corrected in the issue register and rigid boxes are a conditional choice.</x:v>
      </x:c>
    </x:row>
    <x:row r="42" ht="49.04999923706055" customHeight="1">
      <x:c r="A42" s="2">
        <x:v>5</x:v>
      </x:c>
      <x:c r="B42" s="2" t="s">
        <x:v>16</x:v>
      </x:c>
      <x:c r="C42" s="2" t="s">
        <x:v>41</x:v>
      </x:c>
      <x:c r="D42" s="2">
        <x:v>10</x:v>
      </x:c>
      <x:c r="E42" s="3" t="n">
        <x:v>4.5</x:v>
      </x:c>
      <x:c r="F42" s="3" t="n">
        <x:f>D42*E42/5</x:f>
        <x:v>9</x:v>
      </x:c>
      <x:c r="G42" s="2"/>
      <x:c r="H42" s="2" t="str">
        <x:v>Five practical steps are clear, coherent and supported by examples.</x:v>
      </x:c>
    </x:row>
    <x:row r="43" ht="49.04999923706055" customHeight="1">
      <x:c r="A43" s="2">
        <x:v>5</x:v>
      </x:c>
      <x:c r="B43" s="2" t="s">
        <x:v>16</x:v>
      </x:c>
      <x:c r="C43" s="2" t="s">
        <x:v>42</x:v>
      </x:c>
      <x:c r="D43" s="2">
        <x:v>10</x:v>
      </x:c>
      <x:c r="E43" s="3" t="n">
        <x:v>4.5</x:v>
      </x:c>
      <x:c r="F43" s="3" t="n">
        <x:f>D43*E43/5</x:f>
        <x:v>9</x:v>
      </x:c>
      <x:c r="G43" s="2"/>
      <x:c r="H43" s="2" t="str">
        <x:v>Target query and related apparel gift-box phrases appear in useful headings.</x:v>
      </x:c>
    </x:row>
    <x:row r="44" ht="49.04999923706055" customHeight="1">
      <x:c r="A44" s="2">
        <x:v>5</x:v>
      </x:c>
      <x:c r="B44" s="2" t="s">
        <x:v>16</x:v>
      </x:c>
      <x:c r="C44" s="2" t="s">
        <x:v>43</x:v>
      </x:c>
      <x:c r="D44" s="2">
        <x:v>10</x:v>
      </x:c>
      <x:c r="E44" s="3" t="n">
        <x:v>4.5</x:v>
      </x:c>
      <x:c r="F44" s="3" t="n">
        <x:f>D44*E44/5</x:f>
        <x:v>9</x:v>
      </x:c>
      <x:c r="G44" s="2"/>
      <x:c r="H44" s="2" t="str">
        <x:v>Clothing brands, fulfillment volumes, storage and seasonal buying are explicitly covered.</x:v>
      </x:c>
    </x:row>
    <x:row r="45" ht="49.04999923706055" customHeight="1">
      <x:c r="A45" s="2">
        <x:v>5</x:v>
      </x:c>
      <x:c r="B45" s="2" t="s">
        <x:v>16</x:v>
      </x:c>
      <x:c r="C45" s="2" t="s">
        <x:v>44</x:v>
      </x:c>
      <x:c r="D45" s="2">
        <x:v>5</x:v>
      </x:c>
      <x:c r="E45" s="3" t="n">
        <x:v>4</x:v>
      </x:c>
      <x:c r="F45" s="3" t="n">
        <x:f>D45*E45/5</x:f>
        <x:v>4</x:v>
      </x:c>
      <x:c r="G45" s="2"/>
      <x:c r="H45" s="2" t="str">
        <x:v>Clear buyer-oriented writing with practical examples; rigid-box advice benefits from one qualified sentence, not a style penalty.</x:v>
      </x:c>
    </x:row>
  </x:sheetData>
  <x:mergeCells>
    <x:mergeCell ref="A1:H1"/>
    <x:mergeCell ref="A3:H3"/>
  </x:mergeCells>
  <x:pageMargins left="0.7" right="0.7" top="0.75" bottom="0.75" header="0.3" footer="0.3"/>
</x:worksheet>
</file>

<file path=xl/worksheets/sheet4.xml><?xml version="1.0" encoding="utf-8"?>
<x:worksheet xmlns:x="http://schemas.openxmlformats.org/spreadsheetml/2006/main">
  <x:sheetViews>
    <x:sheetView workbookViewId="0">
      <x:pane ySplit="7" topLeftCell="A8" activePane="bottomLeft" state="frozen"/>
    </x:sheetView>
  </x:sheetViews>
  <x:sheetFormatPr defaultRowHeight="13.800000190734863"/>
  <x:cols>
    <x:col min="1" max="1" width="14" customWidth="1"/>
    <x:col min="2" max="2" width="12" customWidth="1"/>
    <x:col min="3" max="3" width="23" customWidth="1"/>
    <x:col min="4" max="4" width="13" customWidth="1"/>
    <x:col min="5" max="5" width="52" customWidth="1"/>
    <x:col min="6" max="6" width="69" customWidth="1"/>
    <x:col min="7" max="7" width="88" customWidth="1"/>
    <x:col min="8" max="8" width="100" customWidth="1"/>
    <x:col min="9" max="9" width="19" customWidth="1"/>
    <x:col min="10" max="10" width="64" customWidth="1"/>
  </x:cols>
  <x:sheetData>
    <x:row r="1">
      <x:c r="A1" t="s">
        <x:v>45</x:v>
      </x:c>
    </x:row>
    <x:row r="3">
      <x:c r="A3" t="s">
        <x:v>46</x:v>
      </x:c>
    </x:row>
    <x:row r="5" ht="31.950000762939453" customHeight="1">
      <x:c r="A5" s="1" t="s">
        <x:v>47</x:v>
      </x:c>
      <x:c r="B5" s="1" t="s">
        <x:v>30</x:v>
      </x:c>
      <x:c r="C5" s="1" t="s">
        <x:v>48</x:v>
      </x:c>
      <x:c r="D5" s="1" t="s">
        <x:v>49</x:v>
      </x:c>
      <x:c r="E5" s="1" t="s">
        <x:v>50</x:v>
      </x:c>
      <x:c r="F5" s="1" t="s">
        <x:v>51</x:v>
      </x:c>
      <x:c r="G5" s="1" t="s">
        <x:v>52</x:v>
      </x:c>
      <x:c r="H5" s="1" t="s">
        <x:v>53</x:v>
      </x:c>
      <x:c r="I5" s="1" t="s">
        <x:v>54</x:v>
      </x:c>
      <x:c r="J5" s="1" t="s">
        <x:v>55</x:v>
      </x:c>
    </x:row>
    <x:row r="6" ht="58.04999923706055" customHeight="1">
      <x:c r="A6" s="2" t="str">
        <x:v>MH-B01-01</x:v>
      </x:c>
      <x:c r="B6" s="2" t="n">
        <x:v>1</x:v>
      </x:c>
      <x:c r="C6" s="2" t="str">
        <x:v>FAIL</x:v>
      </x:c>
      <x:c r="D6" s="2" t="str">
        <x:v>High</x:v>
      </x:c>
      <x:c r="E6" s="2" t="str">
        <x:v>Functional use and adhesive permanence incorrectly treated as fixed label/sticker properties</x:v>
      </x:c>
      <x:c r="F6" s="2" t="str">
        <x:v>Adhesives  | Strong and permanent  | Standard or easily removable</x:v>
      </x:c>
      <x:c r="G6" s="2" t="str">
        <x:v>Both labels and stickers can be manufactured with permanent, removable or specialty adhesives; purpose does not determine tack, and both can be decorative or informational. This is a real supplier-selection issue.</x:v>
      </x:c>
      <x:c r="H6" s="2" t="str">
        <x:v>Replace with: In the comparison table, use the same adhesive choices for both: permanent, removable or specialty options. Explain that the right adhesive depends on the application surface and intended use—not the word “label” or “sticker.”</x:v>
      </x:c>
      <x:c r="I6" s="2" t="str">
        <x:v>Article: Labels vs. Stickers comparison table</x:v>
      </x:c>
      <x:c r="J6" s="2" t="str">
        <x:v>https://print247.us/post/custom-christmas-labels-and-stickers</x:v>
      </x:c>
    </x:row>
    <x:row r="7" ht="58.04999923706055" customHeight="1">
      <x:c r="A7" s="2" t="str">
        <x:v>MH-B02-02</x:v>
      </x:c>
      <x:c r="B7" s="2" t="n">
        <x:v>2</x:v>
      </x:c>
      <x:c r="C7" s="2" t="str">
        <x:v>FAIL</x:v>
      </x:c>
      <x:c r="D7" s="2" t="str">
        <x:v>High</x:v>
      </x:c>
      <x:c r="E7" s="2" t="str">
        <x:v>Aluminum foil described as eliminating all environmental contaminants</x:v>
      </x:c>
      <x:c r="F7" s="2" t="str">
        <x:v>Aluminum sachets block out 100 percent of environmental containments.</x:v>
      </x:c>
      <x:c r="G7" s="2" t="str">
        <x:v>Foil can provide excellent light/gas barriers in a suitable laminate but cannot guarantee total protection against every contaminant or leakage, especially with damaged film or seals.</x:v>
      </x:c>
      <x:c r="H7" s="2" t="str">
        <x:v>Replace with: Aluminum-foil sachets can provide a high level of protection against moisture, oxygen and light when properly manufactured and sealed. Actual protection depends on the laminate structure and seal quality.</x:v>
      </x:c>
      <x:c r="I7" s="2" t="str">
        <x:v>L269–272</x:v>
      </x:c>
      <x:c r="J7" s="2" t="str">
        <x:v>https://print247.us/post/what-is-sachet-packaging</x:v>
      </x:c>
    </x:row>
    <x:row r="8" ht="58.04999923706055" customHeight="1">
      <x:c r="A8" s="2" t="str">
        <x:v>MH-B04-01</x:v>
      </x:c>
      <x:c r="B8" s="2" t="n">
        <x:v>4</x:v>
      </x:c>
      <x:c r="C8" s="2" t="str">
        <x:v>FAIL</x:v>
      </x:c>
      <x:c r="D8" s="2" t="str">
        <x:v>High</x:v>
      </x:c>
      <x:c r="E8" s="2" t="str">
        <x:v>Label-material selection wrongly said to depend solely on printer</x:v>
      </x:c>
      <x:c r="F8" s="2" t="str">
        <x:v>Material choice depends solely on which printing technology you’re using.</x:v>
      </x:c>
      <x:c r="G8" s="2" t="str">
        <x:v>Media selection also depends on exposure, surface energy, adhesive, handling, durability and intended service life. The article itself later acknowledges some of these factors, making “solely” materially misleading.</x:v>
      </x:c>
      <x:c r="H8" s="2" t="str">
        <x:v>Replace with: Choose label material based on printer compatibility, the surface it will stick to and how the label will be used. Also consider adhesive strength, moisture exposure and durability.</x:v>
      </x:c>
      <x:c r="I8" s="2" t="str">
        <x:v>L308–320</x:v>
      </x:c>
      <x:c r="J8" s="2" t="str">
        <x:v>https://print247.us/post/address-labels-explained-types-sizes-materials</x:v>
      </x:c>
    </x:row>
    <x:row r="9" ht="58.04999923706055" customHeight="1">
      <x:c r="A9" s="2" t="str">
        <x:v>MH-B05-01</x:v>
      </x:c>
      <x:c r="B9" s="2" t="n">
        <x:v>5</x:v>
      </x:c>
      <x:c r="C9" s="2" t="str">
        <x:v>FAIL</x:v>
      </x:c>
      <x:c r="D9" s="2" t="str">
        <x:v>High</x:v>
      </x:c>
      <x:c r="E9" s="2" t="str">
        <x:v>Wholesale presented as a separate box class versus stock/custom</x:v>
      </x:c>
      <x:c r="F9" s="2" t="str">
        <x:v>Stock Boxes: ... Custom Boxes: ... Wholesale Boxes: Buying apparel gift boxes wholesale lowers your cost per unit.</x:v>
      </x:c>
      <x:c r="G9" s="2" t="str">
        <x:v>Stock versus custom describes product configuration; wholesale describes order quantity or purchasing terms. Treating all three as mutually exclusive purchasing options can mislead readers.</x:v>
      </x:c>
      <x:c r="H9" s="2" t="str">
        <x:v>Replace with: Stock and custom describe the type of box; wholesale describes the quantity purchased. Either type can be ordered in bulk, so compare price per box, minimum order quantity and lead time.</x:v>
      </x:c>
      <x:c r="I9" s="2" t="str">
        <x:v>L303–313</x:v>
      </x:c>
      <x:c r="J9" s="2" t="str">
        <x:v>https://print247.us/post/how-to-choose-apparel-gift-boxes-for-your-clothing-brand</x:v>
      </x:c>
    </x:row>
    <x:row r="10" ht="58.04999923706055" customHeight="1">
      <x:c r="A10" t="str">
        <x:v>MH-B05-02</x:v>
      </x:c>
      <x:c r="B10" t="n">
        <x:v>5</x:v>
      </x:c>
      <x:c r="C10" t="str">
        <x:v>NEEDS IMPROVEMENT</x:v>
      </x:c>
      <x:c r="D10" t="str">
        <x:v>Medium</x:v>
      </x:c>
      <x:c r="E10" t="str">
        <x:v>Rigid packaging described as mandatory for delicate fabrics</x:v>
      </x:c>
      <x:c r="F10" s="2" t="str">
        <x:v>To protect delicate fabrics from crushing, rigid boxes are required.</x:v>
      </x:c>
      <x:c r="G10" s="2" t="str">
        <x:v>Delicate apparel can be protected with suitable folding cartons, tissue, inserts or outer shippers in some use cases. A rigid presentation box is a choice, not universal necessity.</x:v>
      </x:c>
      <x:c r="H10" s="2" t="str">
        <x:v>Replace with: Rigid boxes are a popular option for delicate or premium garments, but sturdy folding boxes with tissue or protective inserts may also provide suitable protection.</x:v>
      </x:c>
      <x:c r="I10" t="str">
        <x:v>L267–281</x:v>
      </x:c>
      <x:c r="J10" t="str">
        <x:v>https://print247.us/post/how-to-choose-apparel-gift-boxes-for-your-clothing-brand</x:v>
      </x:c>
    </x:row>
  </x:sheetData>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2" customWidth="1"/>
    <x:col min="2" max="2" width="26" customWidth="1"/>
    <x:col min="3" max="3" width="28" customWidth="1"/>
    <x:col min="4" max="4" width="21" customWidth="1"/>
    <x:col min="5" max="5" width="27" customWidth="1"/>
    <x:col min="6" max="6" width="58" customWidth="1"/>
    <x:col min="7" max="7" width="69" customWidth="1"/>
    <x:col min="8" max="8" width="66" customWidth="1"/>
    <x:col min="9" max="9" width="58" customWidth="1"/>
  </x:cols>
  <x:sheetData>
    <x:row r="1">
      <x:c r="A1" t="s">
        <x:v>56</x:v>
      </x:c>
    </x:row>
    <x:row r="3">
      <x:c r="A3" t="s">
        <x:v>57</x:v>
      </x:c>
    </x:row>
    <x:row r="5" ht="31.950000762939453" customHeight="1">
      <x:c r="A5" s="1" t="s">
        <x:v>30</x:v>
      </x:c>
      <x:c r="B5" s="1" t="s">
        <x:v>7</x:v>
      </x:c>
      <x:c r="C5" s="1" t="s">
        <x:v>58</x:v>
      </x:c>
      <x:c r="D5" s="1" t="s">
        <x:v>59</x:v>
      </x:c>
      <x:c r="E5" s="1" t="s">
        <x:v>60</x:v>
      </x:c>
      <x:c r="F5" s="1" t="s">
        <x:v>61</x:v>
      </x:c>
      <x:c r="G5" s="1" t="s">
        <x:v>62</x:v>
      </x:c>
      <x:c r="H5" s="1" t="s">
        <x:v>63</x:v>
      </x:c>
      <x:c r="I5" s="1" t="s">
        <x:v>64</x:v>
      </x:c>
    </x:row>
    <x:row r="6" ht="37.95000076293945" customHeight="1">
      <x:c r="A6" s="2">
        <x:v>1</x:v>
      </x:c>
      <x:c r="B6" s="2" t="s">
        <x:v>12</x:v>
      </x:c>
      <x:c r="C6" s="2" t="s">
        <x:v>65</x:v>
      </x:c>
      <x:c r="D6" s="2" t="s">
        <x:v>66</x:v>
      </x:c>
      <x:c r="E6" s="2" t="s">
        <x:v>67</x:v>
      </x:c>
      <x:c r="F6" s="2" t="str">
        <x:v>PASS</x:v>
      </x:c>
      <x:c r="G6" s="2" t="str">
        <x:v>The published H1 and body directly address: Custom Christmas Labels and Stickers.</x:v>
      </x:c>
      <x:c r="H6" s="2"/>
      <x:c r="I6" s="2" t="s">
        <x:v>23</x:v>
      </x:c>
    </x:row>
    <x:row r="7" ht="37.95000076293945" customHeight="1">
      <x:c r="A7" s="2">
        <x:v>1</x:v>
      </x:c>
      <x:c r="B7" s="2" t="s">
        <x:v>12</x:v>
      </x:c>
      <x:c r="C7" s="2" t="s">
        <x:v>68</x:v>
      </x:c>
      <x:c r="D7" s="2" t="s">
        <x:v>66</x:v>
      </x:c>
      <x:c r="E7" s="2" t="s">
        <x:v>69</x:v>
      </x:c>
      <x:c r="F7" s="2" t="str">
        <x:v>PASS</x:v>
      </x:c>
      <x:c r="G7" s="2" t="str">
        <x:v>The published title matches the topics delivered: Definitions, comparison, holiday applications, format selection, art/quantity and FAQ..</x:v>
      </x:c>
      <x:c r="H7" s="2"/>
      <x:c r="I7" s="2" t="s">
        <x:v>23</x:v>
      </x:c>
    </x:row>
    <x:row r="8" ht="37.95000076293945" customHeight="1">
      <x:c r="A8" s="2">
        <x:v>1</x:v>
      </x:c>
      <x:c r="B8" s="2" t="s">
        <x:v>12</x:v>
      </x:c>
      <x:c r="C8" s="2" t="s">
        <x:v>70</x:v>
      </x:c>
      <x:c r="D8" s="2" t="s">
        <x:v>66</x:v>
      </x:c>
      <x:c r="E8" s="2" t="s">
        <x:v>71</x:v>
      </x:c>
      <x:c r="F8" s="2" t="str">
        <x:v>ACCEPTABLE</x:v>
      </x:c>
      <x:c r="G8" s="2" t="str">
        <x:v>The introduction is relevant: Explains economical festive branding as an alternative to new custom box inventory.. Direct-answer placement is not mandatory.</x:v>
      </x:c>
      <x:c r="H8" s="2"/>
      <x:c r="I8" s="2" t="s">
        <x:v>23</x:v>
      </x:c>
    </x:row>
    <x:row r="9" ht="37.95000076293945" customHeight="1">
      <x:c r="A9" s="2">
        <x:v>1</x:v>
      </x:c>
      <x:c r="B9" s="2" t="s">
        <x:v>12</x:v>
      </x:c>
      <x:c r="C9" s="2" t="s">
        <x:v>72</x:v>
      </x:c>
      <x:c r="D9" s="2" t="s">
        <x:v>66</x:v>
      </x:c>
      <x:c r="E9" s="2" t="s">
        <x:v>73</x:v>
      </x:c>
      <x:c r="F9" s="2" t="str">
        <x:v>PASS</x:v>
      </x:c>
      <x:c r="G9" s="2" t="str">
        <x:v>The article provides an answer through: Definitions, comparison, holiday applications, format selection, art/quantity and FAQ..</x:v>
      </x:c>
      <x:c r="H9" s="2"/>
      <x:c r="I9" s="2" t="s">
        <x:v>23</x:v>
      </x:c>
    </x:row>
    <x:row r="10" ht="37.95000076293945" customHeight="1">
      <x:c r="A10" s="2">
        <x:v>1</x:v>
      </x:c>
      <x:c r="B10" s="2" t="s">
        <x:v>12</x:v>
      </x:c>
      <x:c r="C10" s="2" t="s">
        <x:v>74</x:v>
      </x:c>
      <x:c r="D10" s="2" t="s">
        <x:v>66</x:v>
      </x:c>
      <x:c r="E10" s="2" t="s">
        <x:v>75</x:v>
      </x:c>
      <x:c r="F10" s="2" t="str">
        <x:v>PASS</x:v>
      </x:c>
      <x:c r="G10" s="2" t="str">
        <x:v>Subsections remain relevant to: Definitions, comparison, holiday applications, format selection, art/quantity and FAQ.; ordinary marketing context is acceptable.</x:v>
      </x:c>
      <x:c r="H10" s="2"/>
      <x:c r="I10" s="2" t="s">
        <x:v>23</x:v>
      </x:c>
    </x:row>
    <x:row r="11" ht="37.95000076293945" customHeight="1">
      <x:c r="A11" s="2">
        <x:v>1</x:v>
      </x:c>
      <x:c r="B11" s="2" t="s">
        <x:v>12</x:v>
      </x:c>
      <x:c r="C11" s="2" t="s">
        <x:v>76</x:v>
      </x:c>
      <x:c r="D11" s="2" t="s">
        <x:v>66</x:v>
      </x:c>
      <x:c r="E11" s="2" t="s">
        <x:v>77</x:v>
      </x:c>
      <x:c r="F11" s="2" t="str">
        <x:v>PASS</x:v>
      </x:c>
      <x:c r="G11" s="2" t="str">
        <x:v>Informational/commercial intent addressed by: Supports low-budget labels-on-stock-box hybrid purchasing..</x:v>
      </x:c>
      <x:c r="H11" s="2"/>
      <x:c r="I11" s="2" t="s">
        <x:v>23</x:v>
      </x:c>
    </x:row>
    <x:row r="12" ht="37.95000076293945" customHeight="1">
      <x:c r="A12" s="2">
        <x:v>1</x:v>
      </x:c>
      <x:c r="B12" s="2" t="s">
        <x:v>12</x:v>
      </x:c>
      <x:c r="C12" s="2" t="s">
        <x:v>78</x:v>
      </x:c>
      <x:c r="D12" s="2" t="s">
        <x:v>79</x:v>
      </x:c>
      <x:c r="E12" s="2" t="s">
        <x:v>80</x:v>
      </x:c>
      <x:c r="F12" s="2" t="str">
        <x:v>FAIL</x:v>
      </x:c>
      <x:c r="G12" s="2" t="str">
        <x:v>MH-B01-01: Functional use and adhesive permanence incorrectly treated as fixed label/sticker properties — Both labels and stickers can be manufactured with permanent, removable or specialty adhesives; purpose does not determine tack, and both can be decorative or informational. This is a real supplier-selection issue.</x:v>
      </x:c>
      <x:c r="H12" s="2" t="str">
        <x:v>MH-B01-01</x:v>
      </x:c>
      <x:c r="I12" s="2" t="s">
        <x:v>81</x:v>
      </x:c>
    </x:row>
    <x:row r="13" ht="37.95000076293945" customHeight="1">
      <x:c r="A13" s="2">
        <x:v>1</x:v>
      </x:c>
      <x:c r="B13" s="2" t="s">
        <x:v>12</x:v>
      </x:c>
      <x:c r="C13" s="2" t="s">
        <x:v>82</x:v>
      </x:c>
      <x:c r="D13" s="2" t="s">
        <x:v>79</x:v>
      </x:c>
      <x:c r="E13" s="2" t="s">
        <x:v>83</x:v>
      </x:c>
      <x:c r="F13" s="2" t="str">
        <x:v>FAIL</x:v>
      </x:c>
      <x:c r="G13" s="2" t="str">
        <x:v>MH-B01-01: Functional use and adhesive permanence incorrectly treated as fixed label/sticker properties — Both labels and stickers can be manufactured with permanent, removable or specialty adhesives; purpose does not determine tack, and both can be decorative or informational. This is a real supplier-selection issue.</x:v>
      </x:c>
      <x:c r="H13" s="2" t="str">
        <x:v>MH-B01-01</x:v>
      </x:c>
      <x:c r="I13" s="2" t="s">
        <x:v>81</x:v>
      </x:c>
    </x:row>
    <x:row r="14" ht="37.95000076293945" customHeight="1">
      <x:c r="A14" s="2">
        <x:v>1</x:v>
      </x:c>
      <x:c r="B14" s="2" t="s">
        <x:v>12</x:v>
      </x:c>
      <x:c r="C14" s="2" t="s">
        <x:v>84</x:v>
      </x:c>
      <x:c r="D14" s="2" t="s">
        <x:v>79</x:v>
      </x:c>
      <x:c r="E14" s="2" t="s">
        <x:v>85</x:v>
      </x:c>
      <x:c r="F14" s="2" t="str">
        <x:v>PASS</x:v>
      </x:c>
      <x:c r="G14" s="2" t="str">
        <x:v>Measurable statements evaluated separately from routine promotional language; review cited unique issues and source limits.</x:v>
      </x:c>
      <x:c r="H14" s="2"/>
      <x:c r="I14" s="2" t="s">
        <x:v>23</x:v>
      </x:c>
    </x:row>
    <x:row r="15" ht="37.95000076293945" customHeight="1">
      <x:c r="A15" s="2">
        <x:v>1</x:v>
      </x:c>
      <x:c r="B15" s="2" t="s">
        <x:v>12</x:v>
      </x:c>
      <x:c r="C15" s="2" t="s">
        <x:v>86</x:v>
      </x:c>
      <x:c r="D15" s="2" t="s">
        <x:v>79</x:v>
      </x:c>
      <x:c r="E15" s="2" t="s">
        <x:v>87</x:v>
      </x:c>
      <x:c r="F15" s="2" t="str">
        <x:v>FAIL</x:v>
      </x:c>
      <x:c r="G15" s="2" t="str">
        <x:v>MH-B01-01: Functional use and adhesive permanence incorrectly treated as fixed label/sticker properties — Both labels and stickers can be manufactured with permanent, removable or specialty adhesives; purpose does not determine tack, and both can be decorative or informational. This is a real supplier-selection issue.</x:v>
      </x:c>
      <x:c r="H15" s="2" t="str">
        <x:v>MH-B01-01</x:v>
      </x:c>
      <x:c r="I15" s="2" t="s">
        <x:v>81</x:v>
      </x:c>
    </x:row>
    <x:row r="16" ht="37.95000076293945" customHeight="1">
      <x:c r="A16" s="2">
        <x:v>1</x:v>
      </x:c>
      <x:c r="B16" s="2" t="s">
        <x:v>12</x:v>
      </x:c>
      <x:c r="C16" s="2" t="s">
        <x:v>88</x:v>
      </x:c>
      <x:c r="D16" s="2" t="s">
        <x:v>79</x:v>
      </x:c>
      <x:c r="E16" s="2" t="s">
        <x:v>89</x:v>
      </x:c>
      <x:c r="F16" s="2" t="str">
        <x:v>PASS</x:v>
      </x:c>
      <x:c r="G16" s="2" t="str">
        <x:v>Practical domain understanding shown by Functional/decorative comparison table; five-step ordering guide; address-label FAQ.; see unique issues for limited inaccuracies.</x:v>
      </x:c>
      <x:c r="H16" s="2"/>
      <x:c r="I16" s="2" t="s">
        <x:v>23</x:v>
      </x:c>
    </x:row>
    <x:row r="17" ht="37.95000076293945" customHeight="1">
      <x:c r="A17" s="2">
        <x:v>1</x:v>
      </x:c>
      <x:c r="B17" s="2" t="s">
        <x:v>12</x:v>
      </x:c>
      <x:c r="C17" s="2" t="s">
        <x:v>90</x:v>
      </x:c>
      <x:c r="D17" s="2" t="s">
        <x:v>79</x:v>
      </x:c>
      <x:c r="E17" s="2" t="s">
        <x:v>91</x:v>
      </x:c>
      <x:c r="F17" s="2" t="str">
        <x:v>PASS</x:v>
      </x:c>
      <x:c r="G17" s="2" t="str">
        <x:v>US B2B context: Supports low-budget labels-on-stock-box hybrid purchasing..</x:v>
      </x:c>
      <x:c r="H17" s="2"/>
      <x:c r="I17" s="2" t="s">
        <x:v>23</x:v>
      </x:c>
    </x:row>
    <x:row r="18" ht="37.95000076293945" customHeight="1">
      <x:c r="A18" s="2">
        <x:v>1</x:v>
      </x:c>
      <x:c r="B18" s="2" t="s">
        <x:v>12</x:v>
      </x:c>
      <x:c r="C18" s="2" t="s">
        <x:v>92</x:v>
      </x:c>
      <x:c r="D18" s="2" t="s">
        <x:v>93</x:v>
      </x:c>
      <x:c r="E18" s="2" t="s">
        <x:v>94</x:v>
      </x:c>
      <x:c r="F18" s="2" t="str">
        <x:v>PASS</x:v>
      </x:c>
      <x:c r="G18" s="2" t="str">
        <x:v>Core relevant entities and subtopics include Definitions, comparison, holiday applications, format selection, art/quantity and FAQ..</x:v>
      </x:c>
      <x:c r="H18" s="2"/>
      <x:c r="I18" s="2" t="s">
        <x:v>23</x:v>
      </x:c>
    </x:row>
    <x:row r="19" ht="37.95000076293945" customHeight="1">
      <x:c r="A19" s="2">
        <x:v>1</x:v>
      </x:c>
      <x:c r="B19" s="2" t="s">
        <x:v>12</x:v>
      </x:c>
      <x:c r="C19" s="2" t="s">
        <x:v>95</x:v>
      </x:c>
      <x:c r="D19" s="2" t="s">
        <x:v>93</x:v>
      </x:c>
      <x:c r="E19" s="2" t="s">
        <x:v>96</x:v>
      </x:c>
      <x:c r="F19" s="2" t="str">
        <x:v>PASS</x:v>
      </x:c>
      <x:c r="G19" s="2" t="str">
        <x:v>Explains relevant choices or relationships using Functional/decorative comparison table; five-step ordering guide; address-label FAQ..</x:v>
      </x:c>
      <x:c r="H19" s="2"/>
      <x:c r="I19" s="2" t="s">
        <x:v>23</x:v>
      </x:c>
    </x:row>
    <x:row r="20" ht="37.95000076293945" customHeight="1">
      <x:c r="A20" s="2">
        <x:v>1</x:v>
      </x:c>
      <x:c r="B20" s="2" t="s">
        <x:v>12</x:v>
      </x:c>
      <x:c r="C20" s="2" t="s">
        <x:v>97</x:v>
      </x:c>
      <x:c r="D20" s="2" t="s">
        <x:v>93</x:v>
      </x:c>
      <x:c r="E20" s="2" t="s">
        <x:v>98</x:v>
      </x:c>
      <x:c r="F20" s="2" t="str">
        <x:v>PASS</x:v>
      </x:c>
      <x:c r="G20" s="2" t="str">
        <x:v>Headings group Definitions, comparison, holiday applications, format selection, art/quantity and FAQ. in an understandable progression.</x:v>
      </x:c>
      <x:c r="H20" s="2"/>
      <x:c r="I20" s="2" t="s">
        <x:v>23</x:v>
      </x:c>
    </x:row>
    <x:row r="21" ht="37.95000076293945" customHeight="1">
      <x:c r="A21" s="2">
        <x:v>1</x:v>
      </x:c>
      <x:c r="B21" s="2" t="s">
        <x:v>12</x:v>
      </x:c>
      <x:c r="C21" s="2" t="s">
        <x:v>99</x:v>
      </x:c>
      <x:c r="D21" s="2" t="s">
        <x:v>93</x:v>
      </x:c>
      <x:c r="E21" s="2" t="s">
        <x:v>100</x:v>
      </x:c>
      <x:c r="F21" s="2" t="str">
        <x:v>PASS</x:v>
      </x:c>
      <x:c r="G21" s="2" t="str">
        <x:v>The body answers its core decision questions through Functional/decorative comparison table; five-step ordering guide; address-label FAQ..</x:v>
      </x:c>
      <x:c r="H21" s="2"/>
      <x:c r="I21" s="2" t="s">
        <x:v>23</x:v>
      </x:c>
    </x:row>
    <x:row r="22" ht="37.95000076293945" customHeight="1">
      <x:c r="A22" s="2">
        <x:v>1</x:v>
      </x:c>
      <x:c r="B22" s="2" t="s">
        <x:v>12</x:v>
      </x:c>
      <x:c r="C22" s="2" t="s">
        <x:v>101</x:v>
      </x:c>
      <x:c r="D22" s="2" t="s">
        <x:v>93</x:v>
      </x:c>
      <x:c r="E22" s="2" t="s">
        <x:v>102</x:v>
      </x:c>
      <x:c r="F22" s="2" t="str">
        <x:v>PASS</x:v>
      </x:c>
      <x:c r="G22" s="2" t="str">
        <x:v>The core purpose is addressed by the sections listed; minor optional additions are not a major topical gap.</x:v>
      </x:c>
      <x:c r="H22" s="2"/>
      <x:c r="I22" s="2" t="s">
        <x:v>23</x:v>
      </x:c>
    </x:row>
    <x:row r="23" ht="37.95000076293945" customHeight="1">
      <x:c r="A23" s="2">
        <x:v>1</x:v>
      </x:c>
      <x:c r="B23" s="2" t="s">
        <x:v>12</x:v>
      </x:c>
      <x:c r="C23" s="2" t="s">
        <x:v>103</x:v>
      </x:c>
      <x:c r="D23" s="2" t="s">
        <x:v>93</x:v>
      </x:c>
      <x:c r="E23" s="2" t="s">
        <x:v>104</x:v>
      </x:c>
      <x:c r="F23" s="2" t="str">
        <x:v>ACCEPTABLE</x:v>
      </x:c>
      <x:c r="G23" s="2" t="str">
        <x:v>Each main group adds at least one topic or buyer function; routine recap and sales language are acceptable.</x:v>
      </x:c>
      <x:c r="H23" s="2"/>
      <x:c r="I23" s="2" t="s">
        <x:v>23</x:v>
      </x:c>
    </x:row>
    <x:row r="24" ht="37.95000076293945" customHeight="1">
      <x:c r="A24" s="2">
        <x:v>1</x:v>
      </x:c>
      <x:c r="B24" s="2" t="s">
        <x:v>12</x:v>
      </x:c>
      <x:c r="C24" s="2" t="s">
        <x:v>105</x:v>
      </x:c>
      <x:c r="D24" s="2" t="s">
        <x:v>106</x:v>
      </x:c>
      <x:c r="E24" s="2" t="s">
        <x:v>107</x:v>
      </x:c>
      <x:c r="F24" s="2" t="str">
        <x:v>PASS</x:v>
      </x:c>
      <x:c r="G24" s="2" t="str">
        <x:v>Beyond a definition, it includes practical material: Functional/decorative comparison table; five-step ordering guide; address-label FAQ..</x:v>
      </x:c>
      <x:c r="H24" s="2"/>
      <x:c r="I24" s="2" t="s">
        <x:v>23</x:v>
      </x:c>
    </x:row>
    <x:row r="25" ht="37.95000076293945" customHeight="1">
      <x:c r="A25" s="2">
        <x:v>1</x:v>
      </x:c>
      <x:c r="B25" s="2" t="s">
        <x:v>12</x:v>
      </x:c>
      <x:c r="C25" s="2" t="s">
        <x:v>108</x:v>
      </x:c>
      <x:c r="D25" s="2" t="s">
        <x:v>106</x:v>
      </x:c>
      <x:c r="E25" s="2" t="s">
        <x:v>109</x:v>
      </x:c>
      <x:c r="F25" s="2" t="str">
        <x:v>PASS</x:v>
      </x:c>
      <x:c r="G25" s="2" t="str">
        <x:v>Examples/applications are present: Functional/decorative comparison table; five-step ordering guide; address-label FAQ..</x:v>
      </x:c>
      <x:c r="H25" s="2"/>
      <x:c r="I25" s="2" t="s">
        <x:v>23</x:v>
      </x:c>
    </x:row>
    <x:row r="26" ht="37.95000076293945" customHeight="1">
      <x:c r="A26" s="2">
        <x:v>1</x:v>
      </x:c>
      <x:c r="B26" s="2" t="s">
        <x:v>12</x:v>
      </x:c>
      <x:c r="C26" s="2" t="s">
        <x:v>110</x:v>
      </x:c>
      <x:c r="D26" s="2" t="s">
        <x:v>106</x:v>
      </x:c>
      <x:c r="E26" s="2" t="s">
        <x:v>111</x:v>
      </x:c>
      <x:c r="F26" s="2" t="str">
        <x:v>PASS</x:v>
      </x:c>
      <x:c r="G26" s="2" t="str">
        <x:v>Actionable decision content is present: Supports low-budget labels-on-stock-box hybrid purchasing..</x:v>
      </x:c>
      <x:c r="H26" s="2"/>
      <x:c r="I26" s="2" t="s">
        <x:v>23</x:v>
      </x:c>
    </x:row>
    <x:row r="27" ht="37.95000076293945" customHeight="1">
      <x:c r="A27" s="2">
        <x:v>1</x:v>
      </x:c>
      <x:c r="B27" s="2" t="s">
        <x:v>12</x:v>
      </x:c>
      <x:c r="C27" s="2" t="s">
        <x:v>112</x:v>
      </x:c>
      <x:c r="D27" s="2" t="s">
        <x:v>106</x:v>
      </x:c>
      <x:c r="E27" s="2" t="s">
        <x:v>113</x:v>
      </x:c>
      <x:c r="F27" s="2" t="str">
        <x:v>PASS</x:v>
      </x:c>
      <x:c r="G27" s="2" t="str">
        <x:v>Comparisons and choice guidance include: Functional/decorative comparison table; five-step ordering guide; address-label FAQ..</x:v>
      </x:c>
      <x:c r="H27" s="2"/>
      <x:c r="I27" s="2" t="s">
        <x:v>23</x:v>
      </x:c>
    </x:row>
    <x:row r="28" ht="37.95000076293945" customHeight="1">
      <x:c r="A28" s="2">
        <x:v>1</x:v>
      </x:c>
      <x:c r="B28" s="2" t="s">
        <x:v>12</x:v>
      </x:c>
      <x:c r="C28" s="2" t="s">
        <x:v>114</x:v>
      </x:c>
      <x:c r="D28" s="2" t="s">
        <x:v>106</x:v>
      </x:c>
      <x:c r="E28" s="2" t="s">
        <x:v>115</x:v>
      </x:c>
      <x:c r="F28" s="2" t="str">
        <x:v>ACCEPTABLE</x:v>
      </x:c>
      <x:c r="G28" s="2" t="str">
        <x:v>Former optional finding excluded under the approved balanced standard; it is not a scored deficiency.</x:v>
      </x:c>
      <x:c r="H28" s="2"/>
      <x:c r="I28" s="2" t="s">
        <x:v>116</x:v>
      </x:c>
    </x:row>
    <x:row r="29" ht="37.95000076293945" customHeight="1">
      <x:c r="A29" s="2">
        <x:v>1</x:v>
      </x:c>
      <x:c r="B29" s="2" t="s">
        <x:v>12</x:v>
      </x:c>
      <x:c r="C29" s="2" t="s">
        <x:v>117</x:v>
      </x:c>
      <x:c r="D29" s="2" t="s">
        <x:v>106</x:v>
      </x:c>
      <x:c r="E29" s="2" t="s">
        <x:v>118</x:v>
      </x:c>
      <x:c r="F29" s="2" t="str">
        <x:v>NOT VERIFIED</x:v>
      </x:c>
      <x:c r="G29" s="2" t="str">
        <x:v>Originality/plagiarism cannot be proved from a published article alone; external comparison not performed.</x:v>
      </x:c>
      <x:c r="H29" s="2"/>
      <x:c r="I29" s="2" t="s">
        <x:v>23</x:v>
      </x:c>
    </x:row>
    <x:row r="30" ht="37.95000076293945" customHeight="1">
      <x:c r="A30" s="2">
        <x:v>1</x:v>
      </x:c>
      <x:c r="B30" s="2" t="s">
        <x:v>12</x:v>
      </x:c>
      <x:c r="C30" s="2" t="s">
        <x:v>119</x:v>
      </x:c>
      <x:c r="D30" s="2" t="s">
        <x:v>120</x:v>
      </x:c>
      <x:c r="E30" s="2" t="s">
        <x:v>121</x:v>
      </x:c>
      <x:c r="F30" s="2" t="str">
        <x:v>ACCEPTABLE</x:v>
      </x:c>
      <x:c r="G30" s="2" t="str">
        <x:v>The introduction is relevant: Explains economical festive branding as an alternative to new custom box inventory.. Background is acceptable when it frames the topic.</x:v>
      </x:c>
      <x:c r="H30" s="2"/>
      <x:c r="I30" s="2" t="s">
        <x:v>23</x:v>
      </x:c>
    </x:row>
    <x:row r="31" ht="37.95000076293945" customHeight="1">
      <x:c r="A31" s="2">
        <x:v>1</x:v>
      </x:c>
      <x:c r="B31" s="2" t="s">
        <x:v>12</x:v>
      </x:c>
      <x:c r="C31" s="2" t="s">
        <x:v>122</x:v>
      </x:c>
      <x:c r="D31" s="2" t="s">
        <x:v>120</x:v>
      </x:c>
      <x:c r="E31" s="2" t="s">
        <x:v>123</x:v>
      </x:c>
      <x:c r="F31" s="2" t="str">
        <x:v>PASS</x:v>
      </x:c>
      <x:c r="G31" s="2" t="str">
        <x:v>Headings describe the article’s real sections: Definitions, comparison, holiday applications, format selection, art/quantity and FAQ..</x:v>
      </x:c>
      <x:c r="H31" s="2"/>
      <x:c r="I31" s="2" t="s">
        <x:v>23</x:v>
      </x:c>
    </x:row>
    <x:row r="32" ht="37.95000076293945" customHeight="1">
      <x:c r="A32" s="2">
        <x:v>1</x:v>
      </x:c>
      <x:c r="B32" s="2" t="s">
        <x:v>12</x:v>
      </x:c>
      <x:c r="C32" s="2" t="s">
        <x:v>124</x:v>
      </x:c>
      <x:c r="D32" s="2" t="s">
        <x:v>120</x:v>
      </x:c>
      <x:c r="E32" s="2" t="s">
        <x:v>125</x:v>
      </x:c>
      <x:c r="F32" s="2" t="str">
        <x:v>PASS</x:v>
      </x:c>
      <x:c r="G32" s="2" t="str">
        <x:v>The article’s main examples and instructions are understandable: Functional/decorative comparison table; five-step ordering guide; address-label FAQ..</x:v>
      </x:c>
      <x:c r="H32" s="2"/>
      <x:c r="I32" s="2" t="s">
        <x:v>23</x:v>
      </x:c>
    </x:row>
    <x:row r="33" ht="37.95000076293945" customHeight="1">
      <x:c r="A33" s="2">
        <x:v>1</x:v>
      </x:c>
      <x:c r="B33" s="2" t="s">
        <x:v>12</x:v>
      </x:c>
      <x:c r="C33" s="2" t="s">
        <x:v>126</x:v>
      </x:c>
      <x:c r="D33" s="2" t="s">
        <x:v>120</x:v>
      </x:c>
      <x:c r="E33" s="2" t="s">
        <x:v>127</x:v>
      </x:c>
      <x:c r="F33" s="2" t="str">
        <x:v>PASS</x:v>
      </x:c>
      <x:c r="G33" s="2" t="str">
        <x:v>The article moves through Definitions, comparison, holiday applications, format selection, art/quantity and FAQ. in a logical order. Minor repeated branding is allowed.</x:v>
      </x:c>
      <x:c r="H33" s="2"/>
      <x:c r="I33" s="2" t="s">
        <x:v>23</x:v>
      </x:c>
    </x:row>
    <x:row r="34" ht="37.95000076293945" customHeight="1">
      <x:c r="A34" s="2">
        <x:v>1</x:v>
      </x:c>
      <x:c r="B34" s="2" t="s">
        <x:v>12</x:v>
      </x:c>
      <x:c r="C34" s="2" t="s">
        <x:v>128</x:v>
      </x:c>
      <x:c r="D34" s="2" t="s">
        <x:v>120</x:v>
      </x:c>
      <x:c r="E34" s="2" t="s">
        <x:v>129</x:v>
      </x:c>
      <x:c r="F34" s="2" t="str">
        <x:v>PASS</x:v>
      </x:c>
      <x:c r="G34" s="2" t="str">
        <x:v>Comparisons, examples or steps are available: Functional/decorative comparison table; five-step ordering guide; address-label FAQ..</x:v>
      </x:c>
      <x:c r="H34" s="2"/>
      <x:c r="I34" s="2" t="s">
        <x:v>23</x:v>
      </x:c>
    </x:row>
    <x:row r="35" ht="37.95000076293945" customHeight="1">
      <x:c r="A35" s="2">
        <x:v>1</x:v>
      </x:c>
      <x:c r="B35" s="2" t="s">
        <x:v>12</x:v>
      </x:c>
      <x:c r="C35" s="2" t="s">
        <x:v>130</x:v>
      </x:c>
      <x:c r="D35" s="2" t="s">
        <x:v>120</x:v>
      </x:c>
      <x:c r="E35" s="2" t="s">
        <x:v>131</x:v>
      </x:c>
      <x:c r="F35" s="2" t="str">
        <x:v>PASS</x:v>
      </x:c>
      <x:c r="G35" s="2" t="str">
        <x:v>Closing guidance returns to the packaging or purchasing choice: Supports low-budget labels-on-stock-box hybrid purchasing..</x:v>
      </x:c>
      <x:c r="H35" s="2"/>
      <x:c r="I35" s="2" t="s">
        <x:v>23</x:v>
      </x:c>
    </x:row>
    <x:row r="36" ht="37.95000076293945" customHeight="1">
      <x:c r="A36" s="2">
        <x:v>1</x:v>
      </x:c>
      <x:c r="B36" s="2" t="s">
        <x:v>12</x:v>
      </x:c>
      <x:c r="C36" s="2" t="s">
        <x:v>132</x:v>
      </x:c>
      <x:c r="D36" s="2" t="s">
        <x:v>133</x:v>
      </x:c>
      <x:c r="E36" s="2" t="s">
        <x:v>134</x:v>
      </x:c>
      <x:c r="F36" s="2" t="str">
        <x:v>PASS</x:v>
      </x:c>
      <x:c r="G36" s="2" t="str">
        <x:v>Title/H1 and main topic language naturally match Custom Christmas Labels and Stickers.</x:v>
      </x:c>
      <x:c r="H36" s="2"/>
      <x:c r="I36" s="2" t="s">
        <x:v>23</x:v>
      </x:c>
    </x:row>
    <x:row r="37" ht="37.95000076293945" customHeight="1">
      <x:c r="A37" s="2">
        <x:v>1</x:v>
      </x:c>
      <x:c r="B37" s="2" t="s">
        <x:v>12</x:v>
      </x:c>
      <x:c r="C37" s="2" t="s">
        <x:v>135</x:v>
      </x:c>
      <x:c r="D37" s="2" t="s">
        <x:v>133</x:v>
      </x:c>
      <x:c r="E37" s="2" t="s">
        <x:v>136</x:v>
      </x:c>
      <x:c r="F37" s="2" t="str">
        <x:v>PASS</x:v>
      </x:c>
      <x:c r="G37" s="2" t="str">
        <x:v>The wording naturally includes supporting product, material, use and buyer terms.</x:v>
      </x:c>
      <x:c r="H37" s="2"/>
      <x:c r="I37" s="2" t="s">
        <x:v>23</x:v>
      </x:c>
    </x:row>
    <x:row r="38" ht="37.95000076293945" customHeight="1">
      <x:c r="A38" s="2">
        <x:v>1</x:v>
      </x:c>
      <x:c r="B38" s="2" t="s">
        <x:v>12</x:v>
      </x:c>
      <x:c r="C38" s="2" t="s">
        <x:v>137</x:v>
      </x:c>
      <x:c r="D38" s="2" t="s">
        <x:v>133</x:v>
      </x:c>
      <x:c r="E38" s="2" t="s">
        <x:v>138</x:v>
      </x:c>
      <x:c r="F38" s="2" t="str">
        <x:v>PASS</x:v>
      </x:c>
      <x:c r="G38" s="2" t="str">
        <x:v>Section headings serve navigation rather than apparent keyword repetition: Definitions, comparison, holiday applications, format selection, art/quantity and FAQ..</x:v>
      </x:c>
      <x:c r="H38" s="2"/>
      <x:c r="I38" s="2" t="s">
        <x:v>23</x:v>
      </x:c>
    </x:row>
    <x:row r="39" ht="37.95000076293945" customHeight="1">
      <x:c r="A39" s="2">
        <x:v>1</x:v>
      </x:c>
      <x:c r="B39" s="2" t="s">
        <x:v>12</x:v>
      </x:c>
      <x:c r="C39" s="2" t="s">
        <x:v>139</x:v>
      </x:c>
      <x:c r="D39" s="2" t="s">
        <x:v>133</x:v>
      </x:c>
      <x:c r="E39" s="2" t="s">
        <x:v>140</x:v>
      </x:c>
      <x:c r="F39" s="2" t="str">
        <x:v>PASS</x:v>
      </x:c>
      <x:c r="G39" s="2" t="str">
        <x:v>No material pattern of unnatural exact-keyword repetition was established.</x:v>
      </x:c>
      <x:c r="H39" s="2"/>
      <x:c r="I39" s="2" t="s">
        <x:v>23</x:v>
      </x:c>
    </x:row>
    <x:row r="40" ht="37.95000076293945" customHeight="1">
      <x:c r="A40" s="2">
        <x:v>1</x:v>
      </x:c>
      <x:c r="B40" s="2" t="s">
        <x:v>12</x:v>
      </x:c>
      <x:c r="C40" s="2" t="s">
        <x:v>141</x:v>
      </x:c>
      <x:c r="D40" s="2" t="s">
        <x:v>133</x:v>
      </x:c>
      <x:c r="E40" s="2" t="s">
        <x:v>142</x:v>
      </x:c>
      <x:c r="F40" s="2" t="str">
        <x:v>PASS</x:v>
      </x:c>
      <x:c r="G40" s="2" t="str">
        <x:v>The guide remains centered on the single intended question: Custom Christmas Labels and Stickers.</x:v>
      </x:c>
      <x:c r="H40" s="2"/>
      <x:c r="I40" s="2" t="s">
        <x:v>23</x:v>
      </x:c>
    </x:row>
    <x:row r="41" ht="37.95000076293945" customHeight="1">
      <x:c r="A41" s="2">
        <x:v>1</x:v>
      </x:c>
      <x:c r="B41" s="2" t="s">
        <x:v>12</x:v>
      </x:c>
      <x:c r="C41" s="2" t="s">
        <x:v>143</x:v>
      </x:c>
      <x:c r="D41" s="2" t="s">
        <x:v>144</x:v>
      </x:c>
      <x:c r="E41" s="2" t="s">
        <x:v>145</x:v>
      </x:c>
      <x:c r="F41" s="2" t="str">
        <x:v>PASS</x:v>
      </x:c>
      <x:c r="G41" s="2" t="str">
        <x:v>The business reader is apparent from: Supports low-budget labels-on-stock-box hybrid purchasing..</x:v>
      </x:c>
      <x:c r="H41" s="2"/>
      <x:c r="I41" s="2" t="s">
        <x:v>23</x:v>
      </x:c>
    </x:row>
    <x:row r="42" ht="37.95000076293945" customHeight="1">
      <x:c r="A42" s="2">
        <x:v>1</x:v>
      </x:c>
      <x:c r="B42" s="2" t="s">
        <x:v>12</x:v>
      </x:c>
      <x:c r="C42" s="2" t="s">
        <x:v>146</x:v>
      </x:c>
      <x:c r="D42" s="2" t="s">
        <x:v>144</x:v>
      </x:c>
      <x:c r="E42" s="2" t="s">
        <x:v>147</x:v>
      </x:c>
      <x:c r="F42" s="2" t="str">
        <x:v>PASS</x:v>
      </x:c>
      <x:c r="G42" s="2" t="str">
        <x:v>Practical procurement and buyer needs covered: Supports low-budget labels-on-stock-box hybrid purchasing..</x:v>
      </x:c>
      <x:c r="H42" s="2"/>
      <x:c r="I42" s="2" t="s">
        <x:v>23</x:v>
      </x:c>
    </x:row>
    <x:row r="43" ht="37.95000076293945" customHeight="1">
      <x:c r="A43" s="2">
        <x:v>1</x:v>
      </x:c>
      <x:c r="B43" s="2" t="s">
        <x:v>12</x:v>
      </x:c>
      <x:c r="C43" s="2" t="s">
        <x:v>148</x:v>
      </x:c>
      <x:c r="D43" s="2" t="s">
        <x:v>144</x:v>
      </x:c>
      <x:c r="E43" s="2" t="s">
        <x:v>149</x:v>
      </x:c>
      <x:c r="F43" s="2" t="str">
        <x:v>ACCEPTABLE</x:v>
      </x:c>
      <x:c r="G43" s="2" t="str">
        <x:v>Former optional finding excluded under the approved balanced standard; it is not a scored deficiency.</x:v>
      </x:c>
      <x:c r="H43" s="2"/>
      <x:c r="I43" s="2" t="s">
        <x:v>116</x:v>
      </x:c>
    </x:row>
    <x:row r="44" ht="37.95000076293945" customHeight="1">
      <x:c r="A44" s="2">
        <x:v>1</x:v>
      </x:c>
      <x:c r="B44" s="2" t="s">
        <x:v>12</x:v>
      </x:c>
      <x:c r="C44" s="2" t="s">
        <x:v>150</x:v>
      </x:c>
      <x:c r="D44" s="2" t="s">
        <x:v>144</x:v>
      </x:c>
      <x:c r="E44" s="2" t="s">
        <x:v>151</x:v>
      </x:c>
      <x:c r="F44" s="2" t="str">
        <x:v>FAIL</x:v>
      </x:c>
      <x:c r="G44" s="2" t="str">
        <x:v>MH-B01-01: Functional use and adhesive permanence incorrectly treated as fixed label/sticker properties — Both labels and stickers can be manufactured with permanent, removable or specialty adhesives; purpose does not determine tack, and both can be decorative or informational. This is a real supplier-selection issue.</x:v>
      </x:c>
      <x:c r="H44" s="2" t="str">
        <x:v>MH-B01-01</x:v>
      </x:c>
      <x:c r="I44" s="2" t="s">
        <x:v>81</x:v>
      </x:c>
    </x:row>
    <x:row r="45" ht="37.95000076293945" customHeight="1">
      <x:c r="A45" s="2">
        <x:v>1</x:v>
      </x:c>
      <x:c r="B45" s="2" t="s">
        <x:v>12</x:v>
      </x:c>
      <x:c r="C45" s="2" t="s">
        <x:v>152</x:v>
      </x:c>
      <x:c r="D45" s="2" t="s">
        <x:v>144</x:v>
      </x:c>
      <x:c r="E45" s="2" t="s">
        <x:v>153</x:v>
      </x:c>
      <x:c r="F45" s="2" t="str">
        <x:v>PASS</x:v>
      </x:c>
      <x:c r="G45" s="2" t="str">
        <x:v>Linked/referenced products are part of its named packaging or printing topic.</x:v>
      </x:c>
      <x:c r="H45" s="2"/>
      <x:c r="I45" s="2" t="s">
        <x:v>23</x:v>
      </x:c>
    </x:row>
    <x:row r="46" ht="37.95000076293945" customHeight="1">
      <x:c r="A46" s="2">
        <x:v>1</x:v>
      </x:c>
      <x:c r="B46" s="2" t="s">
        <x:v>12</x:v>
      </x:c>
      <x:c r="C46" s="2" t="s">
        <x:v>154</x:v>
      </x:c>
      <x:c r="D46" s="2" t="s">
        <x:v>144</x:v>
      </x:c>
      <x:c r="E46" s="2" t="s">
        <x:v>155</x:v>
      </x:c>
      <x:c r="F46" s="2" t="str">
        <x:v>PASS</x:v>
      </x:c>
      <x:c r="G46" s="2" t="str">
        <x:v>Relevant business supplier CTA appears at conclusion; ordinary service promotion is acceptable.</x:v>
      </x:c>
      <x:c r="H46" s="2"/>
      <x:c r="I46" s="2" t="s">
        <x:v>23</x:v>
      </x:c>
    </x:row>
    <x:row r="47" ht="37.95000076293945" customHeight="1">
      <x:c r="A47" s="2">
        <x:v>1</x:v>
      </x:c>
      <x:c r="B47" s="2" t="s">
        <x:v>12</x:v>
      </x:c>
      <x:c r="C47" s="2" t="s">
        <x:v>156</x:v>
      </x:c>
      <x:c r="D47" s="2" t="s">
        <x:v>157</x:v>
      </x:c>
      <x:c r="E47" s="2" t="s">
        <x:v>158</x:v>
      </x:c>
      <x:c r="F47" s="2" t="str">
        <x:v>PASS</x:v>
      </x:c>
      <x:c r="G47" s="2" t="str">
        <x:v>Published article includes contextual product, category or informational internal links; exhaustive audit not conducted.</x:v>
      </x:c>
      <x:c r="H47" s="2"/>
      <x:c r="I47" s="2" t="s">
        <x:v>23</x:v>
      </x:c>
    </x:row>
    <x:row r="48" ht="37.95000076293945" customHeight="1">
      <x:c r="A48" s="2">
        <x:v>1</x:v>
      </x:c>
      <x:c r="B48" s="2" t="s">
        <x:v>12</x:v>
      </x:c>
      <x:c r="C48" s="2" t="s">
        <x:v>159</x:v>
      </x:c>
      <x:c r="D48" s="2" t="s">
        <x:v>157</x:v>
      </x:c>
      <x:c r="E48" s="2" t="s">
        <x:v>160</x:v>
      </x:c>
      <x:c r="F48" s="2" t="str">
        <x:v>PASS</x:v>
      </x:c>
      <x:c r="G48" s="2" t="str">
        <x:v>Sample source-anchor wording is descriptive in the published article; exhaustive links untested.</x:v>
      </x:c>
      <x:c r="H48" s="2"/>
      <x:c r="I48" s="2" t="s">
        <x:v>23</x:v>
      </x:c>
    </x:row>
    <x:row r="49" ht="37.95000076293945" customHeight="1">
      <x:c r="A49" s="2">
        <x:v>1</x:v>
      </x:c>
      <x:c r="B49" s="2" t="s">
        <x:v>12</x:v>
      </x:c>
      <x:c r="C49" s="2" t="s">
        <x:v>161</x:v>
      </x:c>
      <x:c r="D49" s="2" t="s">
        <x:v>157</x:v>
      </x:c>
      <x:c r="E49" s="2" t="s">
        <x:v>162</x:v>
      </x:c>
      <x:c r="F49" s="2" t="str">
        <x:v>PASS</x:v>
      </x:c>
      <x:c r="G49" s="2" t="str">
        <x:v>Observed internal references are contextually related to the article topic.</x:v>
      </x:c>
      <x:c r="H49" s="2"/>
      <x:c r="I49" s="2" t="s">
        <x:v>23</x:v>
      </x:c>
    </x:row>
    <x:row r="50" ht="37.95000076293945" customHeight="1">
      <x:c r="A50" s="2">
        <x:v>1</x:v>
      </x:c>
      <x:c r="B50" s="2" t="s">
        <x:v>12</x:v>
      </x:c>
      <x:c r="C50" s="2" t="s">
        <x:v>163</x:v>
      </x:c>
      <x:c r="D50" s="2" t="s">
        <x:v>157</x:v>
      </x:c>
      <x:c r="E50" s="2" t="s">
        <x:v>164</x:v>
      </x:c>
      <x:c r="F50" s="2" t="str">
        <x:v>NOT VERIFIED</x:v>
      </x:c>
      <x:c r="G50" s="2" t="str">
        <x:v>A systematic live HTTP/redirect check of every linked destination was not performed.</x:v>
      </x:c>
      <x:c r="H50" s="2"/>
      <x:c r="I50" s="2" t="s">
        <x:v>23</x:v>
      </x:c>
    </x:row>
    <x:row r="51" ht="37.95000076293945" customHeight="1">
      <x:c r="A51" s="2">
        <x:v>1</x:v>
      </x:c>
      <x:c r="B51" s="2" t="s">
        <x:v>12</x:v>
      </x:c>
      <x:c r="C51" s="2" t="s">
        <x:v>165</x:v>
      </x:c>
      <x:c r="D51" s="2" t="s">
        <x:v>157</x:v>
      </x:c>
      <x:c r="E51" s="2" t="s">
        <x:v>166</x:v>
      </x:c>
      <x:c r="F51" s="2" t="str">
        <x:v>NOT VERIFIED</x:v>
      </x:c>
      <x:c r="G51" s="2" t="str">
        <x:v>A complete site inventory and internal-link opportunity analysis was not performed.</x:v>
      </x:c>
      <x:c r="H51" s="2"/>
      <x:c r="I51" s="2" t="s">
        <x:v>23</x:v>
      </x:c>
    </x:row>
    <x:row r="52" ht="37.95000076293945" customHeight="1">
      <x:c r="A52" s="2">
        <x:v>1</x:v>
      </x:c>
      <x:c r="B52" s="2" t="s">
        <x:v>12</x:v>
      </x:c>
      <x:c r="C52" s="2" t="s">
        <x:v>167</x:v>
      </x:c>
      <x:c r="D52" s="2" t="s">
        <x:v>168</x:v>
      </x:c>
      <x:c r="E52" s="2" t="s">
        <x:v>169</x:v>
      </x:c>
      <x:c r="F52" s="2" t="str">
        <x:v>ACCEPTABLE</x:v>
      </x:c>
      <x:c r="G52" s="2" t="str">
        <x:v>Minor isolated language errors are tolerated when meaning is intact; no substantial grammar breakdown observed.</x:v>
      </x:c>
      <x:c r="H52" s="2"/>
      <x:c r="I52" s="2" t="s">
        <x:v>23</x:v>
      </x:c>
    </x:row>
    <x:row r="53" ht="37.95000076293945" customHeight="1">
      <x:c r="A53" s="2">
        <x:v>1</x:v>
      </x:c>
      <x:c r="B53" s="2" t="s">
        <x:v>12</x:v>
      </x:c>
      <x:c r="C53" s="2" t="s">
        <x:v>170</x:v>
      </x:c>
      <x:c r="D53" s="2" t="s">
        <x:v>168</x:v>
      </x:c>
      <x:c r="E53" s="2" t="s">
        <x:v>171</x:v>
      </x:c>
      <x:c r="F53" s="2" t="str">
        <x:v>PASS</x:v>
      </x:c>
      <x:c r="G53" s="2" t="str">
        <x:v>Uses US buyer context, inches where relevant, and no consequential British/American mix established.</x:v>
      </x:c>
      <x:c r="H53" s="2"/>
      <x:c r="I53" s="2" t="s">
        <x:v>23</x:v>
      </x:c>
    </x:row>
    <x:row r="54" ht="37.95000076293945" customHeight="1">
      <x:c r="A54" s="2">
        <x:v>1</x:v>
      </x:c>
      <x:c r="B54" s="2" t="s">
        <x:v>12</x:v>
      </x:c>
      <x:c r="C54" s="2" t="s">
        <x:v>172</x:v>
      </x:c>
      <x:c r="D54" s="2" t="s">
        <x:v>168</x:v>
      </x:c>
      <x:c r="E54" s="2" t="s">
        <x:v>173</x:v>
      </x:c>
      <x:c r="F54" s="2" t="str">
        <x:v>ACCEPTABLE</x:v>
      </x:c>
      <x:c r="G54" s="2" t="str">
        <x:v>Professional intent and readable examples are clear. Routine conversational language is acceptable.</x:v>
      </x:c>
      <x:c r="H54" s="2"/>
      <x:c r="I54" s="2" t="s">
        <x:v>23</x:v>
      </x:c>
    </x:row>
    <x:row r="55" ht="37.95000076293945" customHeight="1">
      <x:c r="A55" s="2">
        <x:v>1</x:v>
      </x:c>
      <x:c r="B55" s="2" t="s">
        <x:v>12</x:v>
      </x:c>
      <x:c r="C55" s="2" t="s">
        <x:v>174</x:v>
      </x:c>
      <x:c r="D55" s="2" t="s">
        <x:v>168</x:v>
      </x:c>
      <x:c r="E55" s="2" t="s">
        <x:v>175</x:v>
      </x:c>
      <x:c r="F55" s="2" t="str">
        <x:v>ACCEPTABLE</x:v>
      </x:c>
      <x:c r="G55" s="2" t="str">
        <x:v>Editorial voice is commercially appropriate; minor stylistic variation is not a failure.</x:v>
      </x:c>
      <x:c r="H55" s="2"/>
      <x:c r="I55" s="2" t="s">
        <x:v>23</x:v>
      </x:c>
    </x:row>
    <x:row r="56" ht="37.95000076293945" customHeight="1">
      <x:c r="A56" s="2">
        <x:v>1</x:v>
      </x:c>
      <x:c r="B56" s="2" t="s">
        <x:v>12</x:v>
      </x:c>
      <x:c r="C56" s="2" t="s">
        <x:v>176</x:v>
      </x:c>
      <x:c r="D56" s="2" t="s">
        <x:v>168</x:v>
      </x:c>
      <x:c r="E56" s="2" t="s">
        <x:v>177</x:v>
      </x:c>
      <x:c r="F56" s="2" t="str">
        <x:v>ACCEPTABLE</x:v>
      </x:c>
      <x:c r="G56" s="2" t="str">
        <x:v>Small redundancies are acceptable; only materially distracting repetition would be scored.</x:v>
      </x:c>
      <x:c r="H56" s="2"/>
      <x:c r="I56" s="2" t="s">
        <x:v>23</x:v>
      </x:c>
    </x:row>
    <x:row r="57" ht="37.95000076293945" customHeight="1">
      <x:c r="A57" s="2">
        <x:v>1</x:v>
      </x:c>
      <x:c r="B57" s="2" t="s">
        <x:v>12</x:v>
      </x:c>
      <x:c r="C57" s="2" t="s">
        <x:v>178</x:v>
      </x:c>
      <x:c r="D57" s="2" t="s">
        <x:v>168</x:v>
      </x:c>
      <x:c r="E57" s="2" t="s">
        <x:v>179</x:v>
      </x:c>
      <x:c r="F57" s="2" t="str">
        <x:v>ACCEPTABLE</x:v>
      </x:c>
      <x:c r="G57" s="2" t="str">
        <x:v>Routine advertising puffery is permitted; objective measurable errors are noted as distinct issues.</x:v>
      </x:c>
      <x:c r="H57" s="2"/>
      <x:c r="I57" s="2" t="s">
        <x:v>23</x:v>
      </x:c>
    </x:row>
    <x:row r="58" ht="37.95000076293945" customHeight="1">
      <x:c r="A58" s="2">
        <x:v>2</x:v>
      </x:c>
      <x:c r="B58" s="2" t="s">
        <x:v>13</x:v>
      </x:c>
      <x:c r="C58" s="2" t="s">
        <x:v>65</x:v>
      </x:c>
      <x:c r="D58" s="2" t="s">
        <x:v>66</x:v>
      </x:c>
      <x:c r="E58" s="2" t="s">
        <x:v>67</x:v>
      </x:c>
      <x:c r="F58" s="2" t="str">
        <x:v>PASS</x:v>
      </x:c>
      <x:c r="G58" s="2" t="str">
        <x:v>The published H1 and body directly address: What Is Sachet Packaging? Types, Materials &amp; Uses.</x:v>
      </x:c>
      <x:c r="H58" s="2"/>
      <x:c r="I58" s="2" t="s">
        <x:v>24</x:v>
      </x:c>
    </x:row>
    <x:row r="59" ht="37.95000076293945" customHeight="1">
      <x:c r="A59" s="2">
        <x:v>2</x:v>
      </x:c>
      <x:c r="B59" s="2" t="s">
        <x:v>13</x:v>
      </x:c>
      <x:c r="C59" s="2" t="s">
        <x:v>68</x:v>
      </x:c>
      <x:c r="D59" s="2" t="s">
        <x:v>66</x:v>
      </x:c>
      <x:c r="E59" s="2" t="s">
        <x:v>69</x:v>
      </x:c>
      <x:c r="F59" s="2" t="str">
        <x:v>PASS</x:v>
      </x:c>
      <x:c r="G59" s="2" t="str">
        <x:v>The published title matches the topics delivered: Definitions, format comparisons, foil/paper/plastic/compostable films, industry use cases..</x:v>
      </x:c>
      <x:c r="H59" s="2"/>
      <x:c r="I59" s="2" t="s">
        <x:v>24</x:v>
      </x:c>
    </x:row>
    <x:row r="60" ht="37.95000076293945" customHeight="1">
      <x:c r="A60" s="2">
        <x:v>2</x:v>
      </x:c>
      <x:c r="B60" s="2" t="s">
        <x:v>13</x:v>
      </x:c>
      <x:c r="C60" s="2" t="s">
        <x:v>70</x:v>
      </x:c>
      <x:c r="D60" s="2" t="s">
        <x:v>66</x:v>
      </x:c>
      <x:c r="E60" s="2" t="s">
        <x:v>71</x:v>
      </x:c>
      <x:c r="F60" s="2" t="str">
        <x:v>ACCEPTABLE</x:v>
      </x:c>
      <x:c r="G60" s="2" t="str">
        <x:v>The introduction is relevant: Provides a functional definition of sachet packaging near the start with ketchup and sample examples.. Direct-answer placement is not mandatory.</x:v>
      </x:c>
      <x:c r="H60" s="2"/>
      <x:c r="I60" s="2" t="s">
        <x:v>24</x:v>
      </x:c>
    </x:row>
    <x:row r="61" ht="37.95000076293945" customHeight="1">
      <x:c r="A61" s="2">
        <x:v>2</x:v>
      </x:c>
      <x:c r="B61" s="2" t="s">
        <x:v>13</x:v>
      </x:c>
      <x:c r="C61" s="2" t="s">
        <x:v>72</x:v>
      </x:c>
      <x:c r="D61" s="2" t="s">
        <x:v>66</x:v>
      </x:c>
      <x:c r="E61" s="2" t="s">
        <x:v>73</x:v>
      </x:c>
      <x:c r="F61" s="2" t="str">
        <x:v>PASS</x:v>
      </x:c>
      <x:c r="G61" s="2" t="str">
        <x:v>The article provides an answer through: Definitions, format comparisons, foil/paper/plastic/compostable films, industry use cases..</x:v>
      </x:c>
      <x:c r="H61" s="2"/>
      <x:c r="I61" s="2" t="s">
        <x:v>24</x:v>
      </x:c>
    </x:row>
    <x:row r="62" ht="37.95000076293945" customHeight="1">
      <x:c r="A62" s="2">
        <x:v>2</x:v>
      </x:c>
      <x:c r="B62" s="2" t="s">
        <x:v>13</x:v>
      </x:c>
      <x:c r="C62" s="2" t="s">
        <x:v>74</x:v>
      </x:c>
      <x:c r="D62" s="2" t="s">
        <x:v>66</x:v>
      </x:c>
      <x:c r="E62" s="2" t="s">
        <x:v>75</x:v>
      </x:c>
      <x:c r="F62" s="2" t="str">
        <x:v>PASS</x:v>
      </x:c>
      <x:c r="G62" s="2" t="str">
        <x:v>Subsections remain relevant to: Definitions, format comparisons, foil/paper/plastic/compostable films, industry use cases.; ordinary marketing context is acceptable.</x:v>
      </x:c>
      <x:c r="H62" s="2"/>
      <x:c r="I62" s="2" t="s">
        <x:v>24</x:v>
      </x:c>
    </x:row>
    <x:row r="63" ht="37.95000076293945" customHeight="1">
      <x:c r="A63" s="2">
        <x:v>2</x:v>
      </x:c>
      <x:c r="B63" s="2" t="s">
        <x:v>13</x:v>
      </x:c>
      <x:c r="C63" s="2" t="s">
        <x:v>76</x:v>
      </x:c>
      <x:c r="D63" s="2" t="s">
        <x:v>66</x:v>
      </x:c>
      <x:c r="E63" s="2" t="s">
        <x:v>77</x:v>
      </x:c>
      <x:c r="F63" s="2" t="str">
        <x:v>PASS</x:v>
      </x:c>
      <x:c r="G63" s="2" t="str">
        <x:v>Informational/commercial intent addressed by: Relevant for sample packaging and bulk procurement; regulated applications need validation..</x:v>
      </x:c>
      <x:c r="H63" s="2"/>
      <x:c r="I63" s="2" t="s">
        <x:v>24</x:v>
      </x:c>
    </x:row>
    <x:row r="64" ht="37.95000076293945" customHeight="1">
      <x:c r="A64" s="2">
        <x:v>2</x:v>
      </x:c>
      <x:c r="B64" s="2" t="s">
        <x:v>13</x:v>
      </x:c>
      <x:c r="C64" s="2" t="s">
        <x:v>78</x:v>
      </x:c>
      <x:c r="D64" s="2" t="s">
        <x:v>79</x:v>
      </x:c>
      <x:c r="E64" s="2" t="s">
        <x:v>80</x:v>
      </x:c>
      <x:c r="F64" s="2" t="str">
        <x:v>PASS</x:v>
      </x:c>
      <x:c r="G64" s="2" t="str">
        <x:v>Major domain terms are explained in: Definitions, format comparisons, foil/paper/plastic/compostable films, industry use cases.; see unique issue records for exceptions.</x:v>
      </x:c>
      <x:c r="H64" s="2"/>
      <x:c r="I64" s="2" t="s">
        <x:v>24</x:v>
      </x:c>
    </x:row>
    <x:row r="65" ht="37.95000076293945" customHeight="1">
      <x:c r="A65" s="2">
        <x:v>2</x:v>
      </x:c>
      <x:c r="B65" s="2" t="s">
        <x:v>13</x:v>
      </x:c>
      <x:c r="C65" s="2" t="s">
        <x:v>82</x:v>
      </x:c>
      <x:c r="D65" s="2" t="s">
        <x:v>79</x:v>
      </x:c>
      <x:c r="E65" s="2" t="s">
        <x:v>83</x:v>
      </x:c>
      <x:c r="F65" s="2" t="str">
        <x:v>FAIL</x:v>
      </x:c>
      <x:c r="G65" s="2" t="str">
        <x:v>MH-B02-02: Aluminum foil described as eliminating all environmental contaminants — Foil can provide excellent light/gas barriers in a suitable laminate but cannot guarantee total protection against every contaminant or leakage, especially with damaged film or seals.</x:v>
      </x:c>
      <x:c r="H65" s="2" t="str">
        <x:v>MH-B02-02</x:v>
      </x:c>
      <x:c r="I65" s="2" t="s">
        <x:v>180</x:v>
      </x:c>
    </x:row>
    <x:row r="66" ht="37.95000076293945" customHeight="1">
      <x:c r="A66" s="2">
        <x:v>2</x:v>
      </x:c>
      <x:c r="B66" s="2" t="s">
        <x:v>13</x:v>
      </x:c>
      <x:c r="C66" s="2" t="s">
        <x:v>84</x:v>
      </x:c>
      <x:c r="D66" s="2" t="s">
        <x:v>79</x:v>
      </x:c>
      <x:c r="E66" s="2" t="s">
        <x:v>85</x:v>
      </x:c>
      <x:c r="F66" s="2" t="str">
        <x:v>NOT VERIFIED</x:v>
      </x:c>
      <x:c r="G66" s="2" t="str">
        <x:v>Former finding excluded from the management-approved scored issues. This specific claim was not independently reverified; no FAIL or penalty is assigned.</x:v>
      </x:c>
      <x:c r="H66" s="2"/>
      <x:c r="I66" s="2" t="s">
        <x:v>181</x:v>
      </x:c>
    </x:row>
    <x:row r="67" ht="37.95000076293945" customHeight="1">
      <x:c r="A67" s="2">
        <x:v>2</x:v>
      </x:c>
      <x:c r="B67" s="2" t="s">
        <x:v>13</x:v>
      </x:c>
      <x:c r="C67" s="2" t="s">
        <x:v>86</x:v>
      </x:c>
      <x:c r="D67" s="2" t="s">
        <x:v>79</x:v>
      </x:c>
      <x:c r="E67" s="2" t="s">
        <x:v>87</x:v>
      </x:c>
      <x:c r="F67" s="2" t="str">
        <x:v>FAIL</x:v>
      </x:c>
      <x:c r="G67" s="2" t="str">
        <x:v>MH-B02-02: Aluminum foil described as eliminating all environmental contaminants — Foil can provide excellent light/gas barriers in a suitable laminate but cannot guarantee total protection against every contaminant or leakage, especially with damaged film or seals.</x:v>
      </x:c>
      <x:c r="H67" s="2" t="str">
        <x:v>MH-B02-02</x:v>
      </x:c>
      <x:c r="I67" s="2" t="s">
        <x:v>182</x:v>
      </x:c>
    </x:row>
    <x:row r="68" ht="37.95000076293945" customHeight="1">
      <x:c r="A68" s="2">
        <x:v>2</x:v>
      </x:c>
      <x:c r="B68" s="2" t="s">
        <x:v>13</x:v>
      </x:c>
      <x:c r="C68" s="2" t="s">
        <x:v>88</x:v>
      </x:c>
      <x:c r="D68" s="2" t="s">
        <x:v>79</x:v>
      </x:c>
      <x:c r="E68" s="2" t="s">
        <x:v>89</x:v>
      </x:c>
      <x:c r="F68" s="2" t="str">
        <x:v>FAIL</x:v>
      </x:c>
      <x:c r="G68" s="2" t="str">
        <x:v>MH-B02-02: Aluminum foil described as eliminating all environmental contaminants — Foil can provide excellent light/gas barriers in a suitable laminate but cannot guarantee total protection against every contaminant or leakage, especially with damaged film or seals.</x:v>
      </x:c>
      <x:c r="H68" s="2" t="str">
        <x:v>MH-B02-02</x:v>
      </x:c>
      <x:c r="I68" s="2" t="s">
        <x:v>180</x:v>
      </x:c>
    </x:row>
    <x:row r="69" ht="37.95000076293945" customHeight="1">
      <x:c r="A69" s="2">
        <x:v>2</x:v>
      </x:c>
      <x:c r="B69" s="2" t="s">
        <x:v>13</x:v>
      </x:c>
      <x:c r="C69" s="2" t="s">
        <x:v>90</x:v>
      </x:c>
      <x:c r="D69" s="2" t="s">
        <x:v>79</x:v>
      </x:c>
      <x:c r="E69" s="2" t="s">
        <x:v>91</x:v>
      </x:c>
      <x:c r="F69" s="2" t="str">
        <x:v>NOT VERIFIED</x:v>
      </x:c>
      <x:c r="G69" s="2" t="str">
        <x:v>Former finding excluded from the management-approved scored issues. This specific claim was not independently reverified; no FAIL or penalty is assigned.</x:v>
      </x:c>
      <x:c r="H69" s="2"/>
      <x:c r="I69" s="2" t="s">
        <x:v>183</x:v>
      </x:c>
    </x:row>
    <x:row r="70" ht="37.95000076293945" customHeight="1">
      <x:c r="A70" s="2">
        <x:v>2</x:v>
      </x:c>
      <x:c r="B70" s="2" t="s">
        <x:v>13</x:v>
      </x:c>
      <x:c r="C70" s="2" t="s">
        <x:v>92</x:v>
      </x:c>
      <x:c r="D70" s="2" t="s">
        <x:v>93</x:v>
      </x:c>
      <x:c r="E70" s="2" t="s">
        <x:v>94</x:v>
      </x:c>
      <x:c r="F70" s="2" t="str">
        <x:v>PASS</x:v>
      </x:c>
      <x:c r="G70" s="2" t="str">
        <x:v>Core relevant entities and subtopics include Definitions, format comparisons, foil/paper/plastic/compostable films, industry use cases..</x:v>
      </x:c>
      <x:c r="H70" s="2"/>
      <x:c r="I70" s="2" t="s">
        <x:v>24</x:v>
      </x:c>
    </x:row>
    <x:row r="71" ht="37.95000076293945" customHeight="1">
      <x:c r="A71" s="2">
        <x:v>2</x:v>
      </x:c>
      <x:c r="B71" s="2" t="s">
        <x:v>13</x:v>
      </x:c>
      <x:c r="C71" s="2" t="s">
        <x:v>95</x:v>
      </x:c>
      <x:c r="D71" s="2" t="s">
        <x:v>93</x:v>
      </x:c>
      <x:c r="E71" s="2" t="s">
        <x:v>96</x:v>
      </x:c>
      <x:c r="F71" s="2" t="str">
        <x:v>PASS</x:v>
      </x:c>
      <x:c r="G71" s="2" t="str">
        <x:v>Explains relevant choices or relationships using Format/type comparisons and detailed material-by-industry discussion..</x:v>
      </x:c>
      <x:c r="H71" s="2"/>
      <x:c r="I71" s="2" t="s">
        <x:v>24</x:v>
      </x:c>
    </x:row>
    <x:row r="72" ht="37.95000076293945" customHeight="1">
      <x:c r="A72" s="2">
        <x:v>2</x:v>
      </x:c>
      <x:c r="B72" s="2" t="s">
        <x:v>13</x:v>
      </x:c>
      <x:c r="C72" s="2" t="s">
        <x:v>97</x:v>
      </x:c>
      <x:c r="D72" s="2" t="s">
        <x:v>93</x:v>
      </x:c>
      <x:c r="E72" s="2" t="s">
        <x:v>98</x:v>
      </x:c>
      <x:c r="F72" s="2" t="str">
        <x:v>PASS</x:v>
      </x:c>
      <x:c r="G72" s="2" t="str">
        <x:v>Headings group Definitions, format comparisons, foil/paper/plastic/compostable films, industry use cases. in an understandable progression.</x:v>
      </x:c>
      <x:c r="H72" s="2"/>
      <x:c r="I72" s="2" t="s">
        <x:v>24</x:v>
      </x:c>
    </x:row>
    <x:row r="73" ht="37.95000076293945" customHeight="1">
      <x:c r="A73" s="2">
        <x:v>2</x:v>
      </x:c>
      <x:c r="B73" s="2" t="s">
        <x:v>13</x:v>
      </x:c>
      <x:c r="C73" s="2" t="s">
        <x:v>99</x:v>
      </x:c>
      <x:c r="D73" s="2" t="s">
        <x:v>93</x:v>
      </x:c>
      <x:c r="E73" s="2" t="s">
        <x:v>100</x:v>
      </x:c>
      <x:c r="F73" s="2" t="str">
        <x:v>PASS</x:v>
      </x:c>
      <x:c r="G73" s="2" t="str">
        <x:v>The body answers its core decision questions through Format/type comparisons and detailed material-by-industry discussion..</x:v>
      </x:c>
      <x:c r="H73" s="2"/>
      <x:c r="I73" s="2" t="s">
        <x:v>24</x:v>
      </x:c>
    </x:row>
    <x:row r="74" ht="37.95000076293945" customHeight="1">
      <x:c r="A74" s="2">
        <x:v>2</x:v>
      </x:c>
      <x:c r="B74" s="2" t="s">
        <x:v>13</x:v>
      </x:c>
      <x:c r="C74" s="2" t="s">
        <x:v>101</x:v>
      </x:c>
      <x:c r="D74" s="2" t="s">
        <x:v>93</x:v>
      </x:c>
      <x:c r="E74" s="2" t="s">
        <x:v>102</x:v>
      </x:c>
      <x:c r="F74" s="2" t="str">
        <x:v>PASS</x:v>
      </x:c>
      <x:c r="G74" s="2" t="str">
        <x:v>The core purpose is addressed by the sections listed; minor optional additions are not a major topical gap.</x:v>
      </x:c>
      <x:c r="H74" s="2"/>
      <x:c r="I74" s="2" t="s">
        <x:v>24</x:v>
      </x:c>
    </x:row>
    <x:row r="75" ht="37.95000076293945" customHeight="1">
      <x:c r="A75" s="2">
        <x:v>2</x:v>
      </x:c>
      <x:c r="B75" s="2" t="s">
        <x:v>13</x:v>
      </x:c>
      <x:c r="C75" s="2" t="s">
        <x:v>103</x:v>
      </x:c>
      <x:c r="D75" s="2" t="s">
        <x:v>93</x:v>
      </x:c>
      <x:c r="E75" s="2" t="s">
        <x:v>104</x:v>
      </x:c>
      <x:c r="F75" s="2" t="str">
        <x:v>ACCEPTABLE</x:v>
      </x:c>
      <x:c r="G75" s="2" t="str">
        <x:v>Each main group adds at least one topic or buyer function; routine recap and sales language are acceptable.</x:v>
      </x:c>
      <x:c r="H75" s="2"/>
      <x:c r="I75" s="2" t="s">
        <x:v>24</x:v>
      </x:c>
    </x:row>
    <x:row r="76" ht="37.95000076293945" customHeight="1">
      <x:c r="A76" s="2">
        <x:v>2</x:v>
      </x:c>
      <x:c r="B76" s="2" t="s">
        <x:v>13</x:v>
      </x:c>
      <x:c r="C76" s="2" t="s">
        <x:v>105</x:v>
      </x:c>
      <x:c r="D76" s="2" t="s">
        <x:v>106</x:v>
      </x:c>
      <x:c r="E76" s="2" t="s">
        <x:v>107</x:v>
      </x:c>
      <x:c r="F76" s="2" t="str">
        <x:v>PASS</x:v>
      </x:c>
      <x:c r="G76" s="2" t="str">
        <x:v>Beyond a definition, it includes practical material: Format/type comparisons and detailed material-by-industry discussion..</x:v>
      </x:c>
      <x:c r="H76" s="2"/>
      <x:c r="I76" s="2" t="s">
        <x:v>24</x:v>
      </x:c>
    </x:row>
    <x:row r="77" ht="37.95000076293945" customHeight="1">
      <x:c r="A77" s="2">
        <x:v>2</x:v>
      </x:c>
      <x:c r="B77" s="2" t="s">
        <x:v>13</x:v>
      </x:c>
      <x:c r="C77" s="2" t="s">
        <x:v>108</x:v>
      </x:c>
      <x:c r="D77" s="2" t="s">
        <x:v>106</x:v>
      </x:c>
      <x:c r="E77" s="2" t="s">
        <x:v>109</x:v>
      </x:c>
      <x:c r="F77" s="2" t="str">
        <x:v>PASS</x:v>
      </x:c>
      <x:c r="G77" s="2" t="str">
        <x:v>Examples/applications are present: Format/type comparisons and detailed material-by-industry discussion..</x:v>
      </x:c>
      <x:c r="H77" s="2"/>
      <x:c r="I77" s="2" t="s">
        <x:v>24</x:v>
      </x:c>
    </x:row>
    <x:row r="78" ht="37.95000076293945" customHeight="1">
      <x:c r="A78" s="2">
        <x:v>2</x:v>
      </x:c>
      <x:c r="B78" s="2" t="s">
        <x:v>13</x:v>
      </x:c>
      <x:c r="C78" s="2" t="s">
        <x:v>110</x:v>
      </x:c>
      <x:c r="D78" s="2" t="s">
        <x:v>106</x:v>
      </x:c>
      <x:c r="E78" s="2" t="s">
        <x:v>111</x:v>
      </x:c>
      <x:c r="F78" s="2" t="str">
        <x:v>PASS</x:v>
      </x:c>
      <x:c r="G78" s="2" t="str">
        <x:v>Actionable decision content is present: Relevant for sample packaging and bulk procurement; regulated applications need validation..</x:v>
      </x:c>
      <x:c r="H78" s="2"/>
      <x:c r="I78" s="2" t="s">
        <x:v>24</x:v>
      </x:c>
    </x:row>
    <x:row r="79" ht="37.95000076293945" customHeight="1">
      <x:c r="A79" s="2">
        <x:v>2</x:v>
      </x:c>
      <x:c r="B79" s="2" t="s">
        <x:v>13</x:v>
      </x:c>
      <x:c r="C79" s="2" t="s">
        <x:v>112</x:v>
      </x:c>
      <x:c r="D79" s="2" t="s">
        <x:v>106</x:v>
      </x:c>
      <x:c r="E79" s="2" t="s">
        <x:v>113</x:v>
      </x:c>
      <x:c r="F79" s="2" t="str">
        <x:v>PASS</x:v>
      </x:c>
      <x:c r="G79" s="2" t="str">
        <x:v>Comparisons and choice guidance include: Format/type comparisons and detailed material-by-industry discussion..</x:v>
      </x:c>
      <x:c r="H79" s="2"/>
      <x:c r="I79" s="2" t="s">
        <x:v>24</x:v>
      </x:c>
    </x:row>
    <x:row r="80" ht="37.95000076293945" customHeight="1">
      <x:c r="A80" s="2">
        <x:v>2</x:v>
      </x:c>
      <x:c r="B80" s="2" t="s">
        <x:v>13</x:v>
      </x:c>
      <x:c r="C80" s="2" t="s">
        <x:v>114</x:v>
      </x:c>
      <x:c r="D80" s="2" t="s">
        <x:v>106</x:v>
      </x:c>
      <x:c r="E80" s="2" t="s">
        <x:v>115</x:v>
      </x:c>
      <x:c r="F80" s="2" t="str">
        <x:v>PASS</x:v>
      </x:c>
      <x:c r="G80" s="2" t="str">
        <x:v>Buyer usefulness is supported by Relevant for sample packaging and bulk procurement; regulated applications need validation.; narrower actionable deficiencies are issue-linked.</x:v>
      </x:c>
      <x:c r="H80" s="2"/>
      <x:c r="I80" s="2" t="s">
        <x:v>24</x:v>
      </x:c>
    </x:row>
    <x:row r="81" ht="37.95000076293945" customHeight="1">
      <x:c r="A81" s="2">
        <x:v>2</x:v>
      </x:c>
      <x:c r="B81" s="2" t="s">
        <x:v>13</x:v>
      </x:c>
      <x:c r="C81" s="2" t="s">
        <x:v>117</x:v>
      </x:c>
      <x:c r="D81" s="2" t="s">
        <x:v>106</x:v>
      </x:c>
      <x:c r="E81" s="2" t="s">
        <x:v>118</x:v>
      </x:c>
      <x:c r="F81" s="2" t="str">
        <x:v>NOT VERIFIED</x:v>
      </x:c>
      <x:c r="G81" s="2" t="str">
        <x:v>Originality/plagiarism cannot be proved from a published article alone; external comparison not performed.</x:v>
      </x:c>
      <x:c r="H81" s="2"/>
      <x:c r="I81" s="2" t="s">
        <x:v>24</x:v>
      </x:c>
    </x:row>
    <x:row r="82" ht="37.95000076293945" customHeight="1">
      <x:c r="A82" s="2">
        <x:v>2</x:v>
      </x:c>
      <x:c r="B82" s="2" t="s">
        <x:v>13</x:v>
      </x:c>
      <x:c r="C82" s="2" t="s">
        <x:v>119</x:v>
      </x:c>
      <x:c r="D82" s="2" t="s">
        <x:v>120</x:v>
      </x:c>
      <x:c r="E82" s="2" t="s">
        <x:v>121</x:v>
      </x:c>
      <x:c r="F82" s="2" t="str">
        <x:v>ACCEPTABLE</x:v>
      </x:c>
      <x:c r="G82" s="2" t="str">
        <x:v>The introduction is relevant: Provides a functional definition of sachet packaging near the start with ketchup and sample examples.. Background is acceptable when it frames the topic.</x:v>
      </x:c>
      <x:c r="H82" s="2"/>
      <x:c r="I82" s="2" t="s">
        <x:v>24</x:v>
      </x:c>
    </x:row>
    <x:row r="83" ht="37.95000076293945" customHeight="1">
      <x:c r="A83" s="2">
        <x:v>2</x:v>
      </x:c>
      <x:c r="B83" s="2" t="s">
        <x:v>13</x:v>
      </x:c>
      <x:c r="C83" s="2" t="s">
        <x:v>122</x:v>
      </x:c>
      <x:c r="D83" s="2" t="s">
        <x:v>120</x:v>
      </x:c>
      <x:c r="E83" s="2" t="s">
        <x:v>123</x:v>
      </x:c>
      <x:c r="F83" s="2" t="str">
        <x:v>PASS</x:v>
      </x:c>
      <x:c r="G83" s="2" t="str">
        <x:v>Headings describe the article’s real sections: Definitions, format comparisons, foil/paper/plastic/compostable films, industry use cases..</x:v>
      </x:c>
      <x:c r="H83" s="2"/>
      <x:c r="I83" s="2" t="s">
        <x:v>24</x:v>
      </x:c>
    </x:row>
    <x:row r="84" ht="37.95000076293945" customHeight="1">
      <x:c r="A84" s="2">
        <x:v>2</x:v>
      </x:c>
      <x:c r="B84" s="2" t="s">
        <x:v>13</x:v>
      </x:c>
      <x:c r="C84" s="2" t="s">
        <x:v>124</x:v>
      </x:c>
      <x:c r="D84" s="2" t="s">
        <x:v>120</x:v>
      </x:c>
      <x:c r="E84" s="2" t="s">
        <x:v>125</x:v>
      </x:c>
      <x:c r="F84" s="2" t="str">
        <x:v>PASS</x:v>
      </x:c>
      <x:c r="G84" s="2" t="str">
        <x:v>The article’s main examples and instructions are understandable: Format/type comparisons and detailed material-by-industry discussion..</x:v>
      </x:c>
      <x:c r="H84" s="2"/>
      <x:c r="I84" s="2" t="s">
        <x:v>24</x:v>
      </x:c>
    </x:row>
    <x:row r="85" ht="37.95000076293945" customHeight="1">
      <x:c r="A85" s="2">
        <x:v>2</x:v>
      </x:c>
      <x:c r="B85" s="2" t="s">
        <x:v>13</x:v>
      </x:c>
      <x:c r="C85" s="2" t="s">
        <x:v>126</x:v>
      </x:c>
      <x:c r="D85" s="2" t="s">
        <x:v>120</x:v>
      </x:c>
      <x:c r="E85" s="2" t="s">
        <x:v>127</x:v>
      </x:c>
      <x:c r="F85" s="2" t="str">
        <x:v>PASS</x:v>
      </x:c>
      <x:c r="G85" s="2" t="str">
        <x:v>The article moves through Definitions, format comparisons, foil/paper/plastic/compostable films, industry use cases. in a logical order. Minor repeated branding is allowed.</x:v>
      </x:c>
      <x:c r="H85" s="2"/>
      <x:c r="I85" s="2" t="s">
        <x:v>24</x:v>
      </x:c>
    </x:row>
    <x:row r="86" ht="37.95000076293945" customHeight="1">
      <x:c r="A86" s="2">
        <x:v>2</x:v>
      </x:c>
      <x:c r="B86" s="2" t="s">
        <x:v>13</x:v>
      </x:c>
      <x:c r="C86" s="2" t="s">
        <x:v>128</x:v>
      </x:c>
      <x:c r="D86" s="2" t="s">
        <x:v>120</x:v>
      </x:c>
      <x:c r="E86" s="2" t="s">
        <x:v>129</x:v>
      </x:c>
      <x:c r="F86" s="2" t="str">
        <x:v>PASS</x:v>
      </x:c>
      <x:c r="G86" s="2" t="str">
        <x:v>Comparisons, examples or steps are available: Format/type comparisons and detailed material-by-industry discussion..</x:v>
      </x:c>
      <x:c r="H86" s="2"/>
      <x:c r="I86" s="2" t="s">
        <x:v>24</x:v>
      </x:c>
    </x:row>
    <x:row r="87" ht="37.95000076293945" customHeight="1">
      <x:c r="A87" s="2">
        <x:v>2</x:v>
      </x:c>
      <x:c r="B87" s="2" t="s">
        <x:v>13</x:v>
      </x:c>
      <x:c r="C87" s="2" t="s">
        <x:v>130</x:v>
      </x:c>
      <x:c r="D87" s="2" t="s">
        <x:v>120</x:v>
      </x:c>
      <x:c r="E87" s="2" t="s">
        <x:v>131</x:v>
      </x:c>
      <x:c r="F87" s="2" t="str">
        <x:v>PASS</x:v>
      </x:c>
      <x:c r="G87" s="2" t="str">
        <x:v>Closing guidance returns to the packaging or purchasing choice: Relevant for sample packaging and bulk procurement; regulated applications need validation..</x:v>
      </x:c>
      <x:c r="H87" s="2"/>
      <x:c r="I87" s="2" t="s">
        <x:v>24</x:v>
      </x:c>
    </x:row>
    <x:row r="88" ht="37.95000076293945" customHeight="1">
      <x:c r="A88" s="2">
        <x:v>2</x:v>
      </x:c>
      <x:c r="B88" s="2" t="s">
        <x:v>13</x:v>
      </x:c>
      <x:c r="C88" s="2" t="s">
        <x:v>132</x:v>
      </x:c>
      <x:c r="D88" s="2" t="s">
        <x:v>133</x:v>
      </x:c>
      <x:c r="E88" s="2" t="s">
        <x:v>134</x:v>
      </x:c>
      <x:c r="F88" s="2" t="str">
        <x:v>PASS</x:v>
      </x:c>
      <x:c r="G88" s="2" t="str">
        <x:v>Title/H1 and main topic language naturally match What Is Sachet Packaging? Types, Materials &amp; Uses.</x:v>
      </x:c>
      <x:c r="H88" s="2"/>
      <x:c r="I88" s="2" t="s">
        <x:v>24</x:v>
      </x:c>
    </x:row>
    <x:row r="89" ht="37.95000076293945" customHeight="1">
      <x:c r="A89" s="2">
        <x:v>2</x:v>
      </x:c>
      <x:c r="B89" s="2" t="s">
        <x:v>13</x:v>
      </x:c>
      <x:c r="C89" s="2" t="s">
        <x:v>135</x:v>
      </x:c>
      <x:c r="D89" s="2" t="s">
        <x:v>133</x:v>
      </x:c>
      <x:c r="E89" s="2" t="s">
        <x:v>136</x:v>
      </x:c>
      <x:c r="F89" s="2" t="str">
        <x:v>PASS</x:v>
      </x:c>
      <x:c r="G89" s="2" t="str">
        <x:v>The wording naturally includes supporting product, material, use and buyer terms.</x:v>
      </x:c>
      <x:c r="H89" s="2"/>
      <x:c r="I89" s="2" t="s">
        <x:v>24</x:v>
      </x:c>
    </x:row>
    <x:row r="90" ht="37.95000076293945" customHeight="1">
      <x:c r="A90" s="2">
        <x:v>2</x:v>
      </x:c>
      <x:c r="B90" s="2" t="s">
        <x:v>13</x:v>
      </x:c>
      <x:c r="C90" s="2" t="s">
        <x:v>137</x:v>
      </x:c>
      <x:c r="D90" s="2" t="s">
        <x:v>133</x:v>
      </x:c>
      <x:c r="E90" s="2" t="s">
        <x:v>138</x:v>
      </x:c>
      <x:c r="F90" s="2" t="str">
        <x:v>PASS</x:v>
      </x:c>
      <x:c r="G90" s="2" t="str">
        <x:v>Section headings serve navigation rather than apparent keyword repetition: Definitions, format comparisons, foil/paper/plastic/compostable films, industry use cases..</x:v>
      </x:c>
      <x:c r="H90" s="2"/>
      <x:c r="I90" s="2" t="s">
        <x:v>24</x:v>
      </x:c>
    </x:row>
    <x:row r="91" ht="37.95000076293945" customHeight="1">
      <x:c r="A91" s="2">
        <x:v>2</x:v>
      </x:c>
      <x:c r="B91" s="2" t="s">
        <x:v>13</x:v>
      </x:c>
      <x:c r="C91" s="2" t="s">
        <x:v>139</x:v>
      </x:c>
      <x:c r="D91" s="2" t="s">
        <x:v>133</x:v>
      </x:c>
      <x:c r="E91" s="2" t="s">
        <x:v>140</x:v>
      </x:c>
      <x:c r="F91" s="2" t="str">
        <x:v>PASS</x:v>
      </x:c>
      <x:c r="G91" s="2" t="str">
        <x:v>No material pattern of unnatural exact-keyword repetition was established.</x:v>
      </x:c>
      <x:c r="H91" s="2"/>
      <x:c r="I91" s="2" t="s">
        <x:v>24</x:v>
      </x:c>
    </x:row>
    <x:row r="92" ht="37.95000076293945" customHeight="1">
      <x:c r="A92" s="2">
        <x:v>2</x:v>
      </x:c>
      <x:c r="B92" s="2" t="s">
        <x:v>13</x:v>
      </x:c>
      <x:c r="C92" s="2" t="s">
        <x:v>141</x:v>
      </x:c>
      <x:c r="D92" s="2" t="s">
        <x:v>133</x:v>
      </x:c>
      <x:c r="E92" s="2" t="s">
        <x:v>142</x:v>
      </x:c>
      <x:c r="F92" s="2" t="str">
        <x:v>PASS</x:v>
      </x:c>
      <x:c r="G92" s="2" t="str">
        <x:v>The guide remains centered on the single intended question: What Is Sachet Packaging? Types, Materials &amp; Uses.</x:v>
      </x:c>
      <x:c r="H92" s="2"/>
      <x:c r="I92" s="2" t="s">
        <x:v>24</x:v>
      </x:c>
    </x:row>
    <x:row r="93" ht="37.95000076293945" customHeight="1">
      <x:c r="A93" s="2">
        <x:v>2</x:v>
      </x:c>
      <x:c r="B93" s="2" t="s">
        <x:v>13</x:v>
      </x:c>
      <x:c r="C93" s="2" t="s">
        <x:v>143</x:v>
      </x:c>
      <x:c r="D93" s="2" t="s">
        <x:v>144</x:v>
      </x:c>
      <x:c r="E93" s="2" t="s">
        <x:v>145</x:v>
      </x:c>
      <x:c r="F93" s="2" t="str">
        <x:v>PASS</x:v>
      </x:c>
      <x:c r="G93" s="2" t="str">
        <x:v>The business reader is apparent from: Relevant for sample packaging and bulk procurement; regulated applications need validation..</x:v>
      </x:c>
      <x:c r="H93" s="2"/>
      <x:c r="I93" s="2" t="s">
        <x:v>24</x:v>
      </x:c>
    </x:row>
    <x:row r="94" ht="37.95000076293945" customHeight="1">
      <x:c r="A94" s="2">
        <x:v>2</x:v>
      </x:c>
      <x:c r="B94" s="2" t="s">
        <x:v>13</x:v>
      </x:c>
      <x:c r="C94" s="2" t="s">
        <x:v>146</x:v>
      </x:c>
      <x:c r="D94" s="2" t="s">
        <x:v>144</x:v>
      </x:c>
      <x:c r="E94" s="2" t="s">
        <x:v>147</x:v>
      </x:c>
      <x:c r="F94" s="2" t="str">
        <x:v>PASS</x:v>
      </x:c>
      <x:c r="G94" s="2" t="str">
        <x:v>Practical procurement and buyer needs covered: Relevant for sample packaging and bulk procurement; regulated applications need validation..</x:v>
      </x:c>
      <x:c r="H94" s="2"/>
      <x:c r="I94" s="2" t="s">
        <x:v>24</x:v>
      </x:c>
    </x:row>
    <x:row r="95" ht="37.95000076293945" customHeight="1">
      <x:c r="A95" s="2">
        <x:v>2</x:v>
      </x:c>
      <x:c r="B95" s="2" t="s">
        <x:v>13</x:v>
      </x:c>
      <x:c r="C95" s="2" t="s">
        <x:v>148</x:v>
      </x:c>
      <x:c r="D95" s="2" t="s">
        <x:v>144</x:v>
      </x:c>
      <x:c r="E95" s="2" t="s">
        <x:v>149</x:v>
      </x:c>
      <x:c r="F95" s="2" t="str">
        <x:v>ACCEPTABLE</x:v>
      </x:c>
      <x:c r="G95" s="2" t="str">
        <x:v>Former optional finding excluded under the approved balanced standard; it is not a scored deficiency.</x:v>
      </x:c>
      <x:c r="H95" s="2"/>
      <x:c r="I95" s="2" t="s">
        <x:v>184</x:v>
      </x:c>
    </x:row>
    <x:row r="96" ht="37.95000076293945" customHeight="1">
      <x:c r="A96" s="2">
        <x:v>2</x:v>
      </x:c>
      <x:c r="B96" s="2" t="s">
        <x:v>13</x:v>
      </x:c>
      <x:c r="C96" s="2" t="s">
        <x:v>150</x:v>
      </x:c>
      <x:c r="D96" s="2" t="s">
        <x:v>144</x:v>
      </x:c>
      <x:c r="E96" s="2" t="s">
        <x:v>151</x:v>
      </x:c>
      <x:c r="F96" s="2" t="str">
        <x:v>NOT VERIFIED</x:v>
      </x:c>
      <x:c r="G96" s="2" t="str">
        <x:v>Former finding excluded from the management-approved scored issues. This specific claim was not independently reverified; no FAIL or penalty is assigned.</x:v>
      </x:c>
      <x:c r="H96" s="2"/>
      <x:c r="I96" s="2" t="s">
        <x:v>185</x:v>
      </x:c>
    </x:row>
    <x:row r="97" ht="37.95000076293945" customHeight="1">
      <x:c r="A97" s="2">
        <x:v>2</x:v>
      </x:c>
      <x:c r="B97" s="2" t="s">
        <x:v>13</x:v>
      </x:c>
      <x:c r="C97" s="2" t="s">
        <x:v>152</x:v>
      </x:c>
      <x:c r="D97" s="2" t="s">
        <x:v>144</x:v>
      </x:c>
      <x:c r="E97" s="2" t="s">
        <x:v>153</x:v>
      </x:c>
      <x:c r="F97" s="2" t="str">
        <x:v>PASS</x:v>
      </x:c>
      <x:c r="G97" s="2" t="str">
        <x:v>Linked/referenced products are part of its named packaging or printing topic.</x:v>
      </x:c>
      <x:c r="H97" s="2"/>
      <x:c r="I97" s="2" t="s">
        <x:v>24</x:v>
      </x:c>
    </x:row>
    <x:row r="98" ht="37.95000076293945" customHeight="1">
      <x:c r="A98" s="2">
        <x:v>2</x:v>
      </x:c>
      <x:c r="B98" s="2" t="s">
        <x:v>13</x:v>
      </x:c>
      <x:c r="C98" s="2" t="s">
        <x:v>154</x:v>
      </x:c>
      <x:c r="D98" s="2" t="s">
        <x:v>144</x:v>
      </x:c>
      <x:c r="E98" s="2" t="s">
        <x:v>155</x:v>
      </x:c>
      <x:c r="F98" s="2" t="str">
        <x:v>PASS</x:v>
      </x:c>
      <x:c r="G98" s="2" t="str">
        <x:v>Relevant business supplier CTA appears at conclusion; ordinary service promotion is acceptable.</x:v>
      </x:c>
      <x:c r="H98" s="2"/>
      <x:c r="I98" s="2" t="s">
        <x:v>24</x:v>
      </x:c>
    </x:row>
    <x:row r="99" ht="37.95000076293945" customHeight="1">
      <x:c r="A99" s="2">
        <x:v>2</x:v>
      </x:c>
      <x:c r="B99" s="2" t="s">
        <x:v>13</x:v>
      </x:c>
      <x:c r="C99" s="2" t="s">
        <x:v>156</x:v>
      </x:c>
      <x:c r="D99" s="2" t="s">
        <x:v>157</x:v>
      </x:c>
      <x:c r="E99" s="2" t="s">
        <x:v>158</x:v>
      </x:c>
      <x:c r="F99" s="2" t="str">
        <x:v>PASS</x:v>
      </x:c>
      <x:c r="G99" s="2" t="str">
        <x:v>Published article includes contextual product, category or informational internal links; exhaustive audit not conducted.</x:v>
      </x:c>
      <x:c r="H99" s="2"/>
      <x:c r="I99" s="2" t="s">
        <x:v>24</x:v>
      </x:c>
    </x:row>
    <x:row r="100" ht="37.95000076293945" customHeight="1">
      <x:c r="A100" s="2">
        <x:v>2</x:v>
      </x:c>
      <x:c r="B100" s="2" t="s">
        <x:v>13</x:v>
      </x:c>
      <x:c r="C100" s="2" t="s">
        <x:v>159</x:v>
      </x:c>
      <x:c r="D100" s="2" t="s">
        <x:v>157</x:v>
      </x:c>
      <x:c r="E100" s="2" t="s">
        <x:v>160</x:v>
      </x:c>
      <x:c r="F100" s="2" t="str">
        <x:v>PASS</x:v>
      </x:c>
      <x:c r="G100" s="2" t="str">
        <x:v>Sample source-anchor wording is descriptive in the published article; exhaustive links untested.</x:v>
      </x:c>
      <x:c r="H100" s="2"/>
      <x:c r="I100" s="2" t="s">
        <x:v>24</x:v>
      </x:c>
    </x:row>
    <x:row r="101" ht="37.95000076293945" customHeight="1">
      <x:c r="A101" s="2">
        <x:v>2</x:v>
      </x:c>
      <x:c r="B101" s="2" t="s">
        <x:v>13</x:v>
      </x:c>
      <x:c r="C101" s="2" t="s">
        <x:v>161</x:v>
      </x:c>
      <x:c r="D101" s="2" t="s">
        <x:v>157</x:v>
      </x:c>
      <x:c r="E101" s="2" t="s">
        <x:v>162</x:v>
      </x:c>
      <x:c r="F101" s="2" t="str">
        <x:v>PASS</x:v>
      </x:c>
      <x:c r="G101" s="2" t="str">
        <x:v>Observed internal references are contextually related to the article topic.</x:v>
      </x:c>
      <x:c r="H101" s="2"/>
      <x:c r="I101" s="2" t="s">
        <x:v>24</x:v>
      </x:c>
    </x:row>
    <x:row r="102" ht="37.95000076293945" customHeight="1">
      <x:c r="A102" s="2">
        <x:v>2</x:v>
      </x:c>
      <x:c r="B102" s="2" t="s">
        <x:v>13</x:v>
      </x:c>
      <x:c r="C102" s="2" t="s">
        <x:v>163</x:v>
      </x:c>
      <x:c r="D102" s="2" t="s">
        <x:v>157</x:v>
      </x:c>
      <x:c r="E102" s="2" t="s">
        <x:v>164</x:v>
      </x:c>
      <x:c r="F102" s="2" t="str">
        <x:v>NOT VERIFIED</x:v>
      </x:c>
      <x:c r="G102" s="2" t="str">
        <x:v>A systematic live HTTP/redirect check of every linked destination was not performed.</x:v>
      </x:c>
      <x:c r="H102" s="2"/>
      <x:c r="I102" s="2" t="s">
        <x:v>24</x:v>
      </x:c>
    </x:row>
    <x:row r="103" ht="37.95000076293945" customHeight="1">
      <x:c r="A103" s="2">
        <x:v>2</x:v>
      </x:c>
      <x:c r="B103" s="2" t="s">
        <x:v>13</x:v>
      </x:c>
      <x:c r="C103" s="2" t="s">
        <x:v>165</x:v>
      </x:c>
      <x:c r="D103" s="2" t="s">
        <x:v>157</x:v>
      </x:c>
      <x:c r="E103" s="2" t="s">
        <x:v>166</x:v>
      </x:c>
      <x:c r="F103" s="2" t="str">
        <x:v>NOT VERIFIED</x:v>
      </x:c>
      <x:c r="G103" s="2" t="str">
        <x:v>A complete site inventory and internal-link opportunity analysis was not performed.</x:v>
      </x:c>
      <x:c r="H103" s="2"/>
      <x:c r="I103" s="2" t="s">
        <x:v>24</x:v>
      </x:c>
    </x:row>
    <x:row r="104" ht="37.95000076293945" customHeight="1">
      <x:c r="A104" s="2">
        <x:v>2</x:v>
      </x:c>
      <x:c r="B104" s="2" t="s">
        <x:v>13</x:v>
      </x:c>
      <x:c r="C104" s="2" t="s">
        <x:v>167</x:v>
      </x:c>
      <x:c r="D104" s="2" t="s">
        <x:v>168</x:v>
      </x:c>
      <x:c r="E104" s="2" t="s">
        <x:v>169</x:v>
      </x:c>
      <x:c r="F104" s="2" t="str">
        <x:v>ACCEPTABLE</x:v>
      </x:c>
      <x:c r="G104" s="2" t="str">
        <x:v>Minor isolated language errors are tolerated when meaning is intact; no substantial grammar breakdown observed.</x:v>
      </x:c>
      <x:c r="H104" s="2"/>
      <x:c r="I104" s="2" t="s">
        <x:v>24</x:v>
      </x:c>
    </x:row>
    <x:row r="105" ht="37.95000076293945" customHeight="1">
      <x:c r="A105" s="2">
        <x:v>2</x:v>
      </x:c>
      <x:c r="B105" s="2" t="s">
        <x:v>13</x:v>
      </x:c>
      <x:c r="C105" s="2" t="s">
        <x:v>170</x:v>
      </x:c>
      <x:c r="D105" s="2" t="s">
        <x:v>168</x:v>
      </x:c>
      <x:c r="E105" s="2" t="s">
        <x:v>171</x:v>
      </x:c>
      <x:c r="F105" s="2" t="str">
        <x:v>PASS</x:v>
      </x:c>
      <x:c r="G105" s="2" t="str">
        <x:v>Uses US buyer context, inches where relevant, and no consequential British/American mix established.</x:v>
      </x:c>
      <x:c r="H105" s="2"/>
      <x:c r="I105" s="2" t="s">
        <x:v>24</x:v>
      </x:c>
    </x:row>
    <x:row r="106" ht="37.95000076293945" customHeight="1">
      <x:c r="A106" s="2">
        <x:v>2</x:v>
      </x:c>
      <x:c r="B106" s="2" t="s">
        <x:v>13</x:v>
      </x:c>
      <x:c r="C106" s="2" t="s">
        <x:v>172</x:v>
      </x:c>
      <x:c r="D106" s="2" t="s">
        <x:v>168</x:v>
      </x:c>
      <x:c r="E106" s="2" t="s">
        <x:v>173</x:v>
      </x:c>
      <x:c r="F106" s="2" t="str">
        <x:v>ACCEPTABLE</x:v>
      </x:c>
      <x:c r="G106" s="2" t="str">
        <x:v>Professional intent and readable examples are clear. Routine conversational language is acceptable.</x:v>
      </x:c>
      <x:c r="H106" s="2"/>
      <x:c r="I106" s="2" t="s">
        <x:v>24</x:v>
      </x:c>
    </x:row>
    <x:row r="107" ht="37.95000076293945" customHeight="1">
      <x:c r="A107" s="2">
        <x:v>2</x:v>
      </x:c>
      <x:c r="B107" s="2" t="s">
        <x:v>13</x:v>
      </x:c>
      <x:c r="C107" s="2" t="s">
        <x:v>174</x:v>
      </x:c>
      <x:c r="D107" s="2" t="s">
        <x:v>168</x:v>
      </x:c>
      <x:c r="E107" s="2" t="s">
        <x:v>175</x:v>
      </x:c>
      <x:c r="F107" s="2" t="str">
        <x:v>ACCEPTABLE</x:v>
      </x:c>
      <x:c r="G107" s="2" t="str">
        <x:v>Editorial voice is commercially appropriate; minor stylistic variation is not a failure.</x:v>
      </x:c>
      <x:c r="H107" s="2"/>
      <x:c r="I107" s="2" t="s">
        <x:v>24</x:v>
      </x:c>
    </x:row>
    <x:row r="108" ht="37.95000076293945" customHeight="1">
      <x:c r="A108" s="2">
        <x:v>2</x:v>
      </x:c>
      <x:c r="B108" s="2" t="s">
        <x:v>13</x:v>
      </x:c>
      <x:c r="C108" s="2" t="s">
        <x:v>176</x:v>
      </x:c>
      <x:c r="D108" s="2" t="s">
        <x:v>168</x:v>
      </x:c>
      <x:c r="E108" s="2" t="s">
        <x:v>177</x:v>
      </x:c>
      <x:c r="F108" s="2" t="str">
        <x:v>ACCEPTABLE</x:v>
      </x:c>
      <x:c r="G108" s="2" t="str">
        <x:v>Small redundancies are acceptable; only materially distracting repetition would be scored.</x:v>
      </x:c>
      <x:c r="H108" s="2"/>
      <x:c r="I108" s="2" t="s">
        <x:v>24</x:v>
      </x:c>
    </x:row>
    <x:row r="109" ht="37.95000076293945" customHeight="1">
      <x:c r="A109" s="2">
        <x:v>2</x:v>
      </x:c>
      <x:c r="B109" s="2" t="s">
        <x:v>13</x:v>
      </x:c>
      <x:c r="C109" s="2" t="s">
        <x:v>178</x:v>
      </x:c>
      <x:c r="D109" s="2" t="s">
        <x:v>168</x:v>
      </x:c>
      <x:c r="E109" s="2" t="s">
        <x:v>179</x:v>
      </x:c>
      <x:c r="F109" s="2" t="str">
        <x:v>ACCEPTABLE</x:v>
      </x:c>
      <x:c r="G109" s="2" t="str">
        <x:v>Routine advertising puffery is permitted; objective measurable errors are noted as distinct issues.</x:v>
      </x:c>
      <x:c r="H109" s="2"/>
      <x:c r="I109" s="2" t="s">
        <x:v>24</x:v>
      </x:c>
    </x:row>
    <x:row r="110" ht="37.95000076293945" customHeight="1">
      <x:c r="A110" s="2">
        <x:v>3</x:v>
      </x:c>
      <x:c r="B110" s="2" t="s">
        <x:v>14</x:v>
      </x:c>
      <x:c r="C110" s="2" t="s">
        <x:v>65</x:v>
      </x:c>
      <x:c r="D110" s="2" t="s">
        <x:v>66</x:v>
      </x:c>
      <x:c r="E110" s="2" t="s">
        <x:v>67</x:v>
      </x:c>
      <x:c r="F110" s="2" t="str">
        <x:v>PASS</x:v>
      </x:c>
      <x:c r="G110" s="2" t="str">
        <x:v>The published H1 and body directly address: Personalized Gift Tags: Ideas for Every Occasion.</x:v>
      </x:c>
      <x:c r="H110" s="2"/>
      <x:c r="I110" s="2" t="s">
        <x:v>25</x:v>
      </x:c>
    </x:row>
    <x:row r="111" ht="37.95000076293945" customHeight="1">
      <x:c r="A111" s="2">
        <x:v>3</x:v>
      </x:c>
      <x:c r="B111" s="2" t="s">
        <x:v>14</x:v>
      </x:c>
      <x:c r="C111" s="2" t="s">
        <x:v>68</x:v>
      </x:c>
      <x:c r="D111" s="2" t="s">
        <x:v>66</x:v>
      </x:c>
      <x:c r="E111" s="2" t="s">
        <x:v>69</x:v>
      </x:c>
      <x:c r="F111" s="2" t="str">
        <x:v>PASS</x:v>
      </x:c>
      <x:c r="G111" s="2" t="str">
        <x:v>The published title matches the topics delivered: Idea list, printable vs commercial comparison, ordering steps and FAQs..</x:v>
      </x:c>
      <x:c r="H111" s="2"/>
      <x:c r="I111" s="2" t="s">
        <x:v>25</x:v>
      </x:c>
    </x:row>
    <x:row r="112" ht="37.95000076293945" customHeight="1">
      <x:c r="A112" s="2">
        <x:v>3</x:v>
      </x:c>
      <x:c r="B112" s="2" t="s">
        <x:v>14</x:v>
      </x:c>
      <x:c r="C112" s="2" t="s">
        <x:v>70</x:v>
      </x:c>
      <x:c r="D112" s="2" t="s">
        <x:v>66</x:v>
      </x:c>
      <x:c r="E112" s="2" t="s">
        <x:v>71</x:v>
      </x:c>
      <x:c r="F112" s="2" t="str">
        <x:v>ACCEPTABLE</x:v>
      </x:c>
      <x:c r="G112" s="2" t="str">
        <x:v>The introduction is relevant: Promises personalized tag ideas and an ordering process, then supplies all 15 ideas.. Direct-answer placement is not mandatory.</x:v>
      </x:c>
      <x:c r="H112" s="2"/>
      <x:c r="I112" s="2" t="s">
        <x:v>25</x:v>
      </x:c>
    </x:row>
    <x:row r="113" ht="37.95000076293945" customHeight="1">
      <x:c r="A113" s="2">
        <x:v>3</x:v>
      </x:c>
      <x:c r="B113" s="2" t="s">
        <x:v>14</x:v>
      </x:c>
      <x:c r="C113" s="2" t="s">
        <x:v>72</x:v>
      </x:c>
      <x:c r="D113" s="2" t="s">
        <x:v>66</x:v>
      </x:c>
      <x:c r="E113" s="2" t="s">
        <x:v>73</x:v>
      </x:c>
      <x:c r="F113" s="2" t="str">
        <x:v>PASS</x:v>
      </x:c>
      <x:c r="G113" s="2" t="str">
        <x:v>The article provides an answer through: Idea list, printable vs commercial comparison, ordering steps and FAQs..</x:v>
      </x:c>
      <x:c r="H113" s="2"/>
      <x:c r="I113" s="2" t="s">
        <x:v>25</x:v>
      </x:c>
    </x:row>
    <x:row r="114" ht="37.95000076293945" customHeight="1">
      <x:c r="A114" s="2">
        <x:v>3</x:v>
      </x:c>
      <x:c r="B114" s="2" t="s">
        <x:v>14</x:v>
      </x:c>
      <x:c r="C114" s="2" t="s">
        <x:v>74</x:v>
      </x:c>
      <x:c r="D114" s="2" t="s">
        <x:v>66</x:v>
      </x:c>
      <x:c r="E114" s="2" t="s">
        <x:v>75</x:v>
      </x:c>
      <x:c r="F114" s="2" t="str">
        <x:v>PASS</x:v>
      </x:c>
      <x:c r="G114" s="2" t="str">
        <x:v>Subsections remain relevant to: Idea list, printable vs commercial comparison, ordering steps and FAQs.; ordinary marketing context is acceptable.</x:v>
      </x:c>
      <x:c r="H114" s="2"/>
      <x:c r="I114" s="2" t="s">
        <x:v>25</x:v>
      </x:c>
    </x:row>
    <x:row r="115" ht="37.95000076293945" customHeight="1">
      <x:c r="A115" s="2">
        <x:v>3</x:v>
      </x:c>
      <x:c r="B115" s="2" t="s">
        <x:v>14</x:v>
      </x:c>
      <x:c r="C115" s="2" t="s">
        <x:v>76</x:v>
      </x:c>
      <x:c r="D115" s="2" t="s">
        <x:v>66</x:v>
      </x:c>
      <x:c r="E115" s="2" t="s">
        <x:v>77</x:v>
      </x:c>
      <x:c r="F115" s="2" t="str">
        <x:v>PASS</x:v>
      </x:c>
      <x:c r="G115" s="2" t="str">
        <x:v>Informational/commercial intent addressed by: Practical for branded gift and retail tag decisions and seasonal buying..</x:v>
      </x:c>
      <x:c r="H115" s="2"/>
      <x:c r="I115" s="2" t="s">
        <x:v>25</x:v>
      </x:c>
    </x:row>
    <x:row r="116" ht="37.95000076293945" customHeight="1">
      <x:c r="A116" s="2">
        <x:v>3</x:v>
      </x:c>
      <x:c r="B116" s="2" t="s">
        <x:v>14</x:v>
      </x:c>
      <x:c r="C116" s="2" t="s">
        <x:v>78</x:v>
      </x:c>
      <x:c r="D116" s="2" t="s">
        <x:v>79</x:v>
      </x:c>
      <x:c r="E116" s="2" t="s">
        <x:v>80</x:v>
      </x:c>
      <x:c r="F116" s="2" t="str">
        <x:v>PASS</x:v>
      </x:c>
      <x:c r="G116" s="2" t="str">
        <x:v>Major domain terms are explained in: Idea list, printable vs commercial comparison, ordering steps and FAQs.; see unique issue records for exceptions.</x:v>
      </x:c>
      <x:c r="H116" s="2"/>
      <x:c r="I116" s="2" t="s">
        <x:v>25</x:v>
      </x:c>
    </x:row>
    <x:row r="117" ht="37.95000076293945" customHeight="1">
      <x:c r="A117" s="2">
        <x:v>3</x:v>
      </x:c>
      <x:c r="B117" s="2" t="s">
        <x:v>14</x:v>
      </x:c>
      <x:c r="C117" s="2" t="s">
        <x:v>82</x:v>
      </x:c>
      <x:c r="D117" s="2" t="s">
        <x:v>79</x:v>
      </x:c>
      <x:c r="E117" s="2" t="s">
        <x:v>83</x:v>
      </x:c>
      <x:c r="F117" s="2" t="str">
        <x:v>PASS</x:v>
      </x:c>
      <x:c r="G117" s="2" t="str">
        <x:v>The principal practical comparisons are present in Seven holiday + eight everyday concepts; DIY vs custom table; materials/finishes.; source-specific exceptions are separately linked.</x:v>
      </x:c>
      <x:c r="H117" s="2"/>
      <x:c r="I117" s="2" t="s">
        <x:v>25</x:v>
      </x:c>
    </x:row>
    <x:row r="118" ht="37.95000076293945" customHeight="1">
      <x:c r="A118" s="2">
        <x:v>3</x:v>
      </x:c>
      <x:c r="B118" s="2" t="s">
        <x:v>14</x:v>
      </x:c>
      <x:c r="C118" s="2" t="s">
        <x:v>84</x:v>
      </x:c>
      <x:c r="D118" s="2" t="s">
        <x:v>79</x:v>
      </x:c>
      <x:c r="E118" s="2" t="s">
        <x:v>85</x:v>
      </x:c>
      <x:c r="F118" s="2" t="str">
        <x:v>PASS</x:v>
      </x:c>
      <x:c r="G118" s="2" t="str">
        <x:v>Measurable statements evaluated separately from routine promotional language; review cited unique issues and source limits.</x:v>
      </x:c>
      <x:c r="H118" s="2"/>
      <x:c r="I118" s="2" t="s">
        <x:v>25</x:v>
      </x:c>
    </x:row>
    <x:row r="119" ht="37.95000076293945" customHeight="1">
      <x:c r="A119" s="2">
        <x:v>3</x:v>
      </x:c>
      <x:c r="B119" s="2" t="s">
        <x:v>14</x:v>
      </x:c>
      <x:c r="C119" s="2" t="s">
        <x:v>86</x:v>
      </x:c>
      <x:c r="D119" s="2" t="s">
        <x:v>79</x:v>
      </x:c>
      <x:c r="E119" s="2" t="s">
        <x:v>87</x:v>
      </x:c>
      <x:c r="F119" s="2" t="str">
        <x:v>PASS</x:v>
      </x:c>
      <x:c r="G119" s="2" t="str">
        <x:v>No additional material internal contradiction established beyond the evidence-linked unique findings.</x:v>
      </x:c>
      <x:c r="H119" s="2"/>
      <x:c r="I119" s="2" t="s">
        <x:v>25</x:v>
      </x:c>
    </x:row>
    <x:row r="120" ht="37.95000076293945" customHeight="1">
      <x:c r="A120" s="2">
        <x:v>3</x:v>
      </x:c>
      <x:c r="B120" s="2" t="s">
        <x:v>14</x:v>
      </x:c>
      <x:c r="C120" s="2" t="s">
        <x:v>88</x:v>
      </x:c>
      <x:c r="D120" s="2" t="s">
        <x:v>79</x:v>
      </x:c>
      <x:c r="E120" s="2" t="s">
        <x:v>89</x:v>
      </x:c>
      <x:c r="F120" s="2" t="str">
        <x:v>PASS</x:v>
      </x:c>
      <x:c r="G120" s="2" t="str">
        <x:v>Practical domain understanding shown by Seven holiday + eight everyday concepts; DIY vs custom table; materials/finishes.; see unique issues for limited inaccuracies.</x:v>
      </x:c>
      <x:c r="H120" s="2"/>
      <x:c r="I120" s="2" t="s">
        <x:v>25</x:v>
      </x:c>
    </x:row>
    <x:row r="121" ht="37.95000076293945" customHeight="1">
      <x:c r="A121" s="2">
        <x:v>3</x:v>
      </x:c>
      <x:c r="B121" s="2" t="s">
        <x:v>14</x:v>
      </x:c>
      <x:c r="C121" s="2" t="s">
        <x:v>90</x:v>
      </x:c>
      <x:c r="D121" s="2" t="s">
        <x:v>79</x:v>
      </x:c>
      <x:c r="E121" s="2" t="s">
        <x:v>91</x:v>
      </x:c>
      <x:c r="F121" s="2" t="str">
        <x:v>PASS</x:v>
      </x:c>
      <x:c r="G121" s="2" t="str">
        <x:v>US B2B context: Practical for branded gift and retail tag decisions and seasonal buying..</x:v>
      </x:c>
      <x:c r="H121" s="2"/>
      <x:c r="I121" s="2" t="s">
        <x:v>25</x:v>
      </x:c>
    </x:row>
    <x:row r="122" ht="37.95000076293945" customHeight="1">
      <x:c r="A122" s="2">
        <x:v>3</x:v>
      </x:c>
      <x:c r="B122" s="2" t="s">
        <x:v>14</x:v>
      </x:c>
      <x:c r="C122" s="2" t="s">
        <x:v>92</x:v>
      </x:c>
      <x:c r="D122" s="2" t="s">
        <x:v>93</x:v>
      </x:c>
      <x:c r="E122" s="2" t="s">
        <x:v>94</x:v>
      </x:c>
      <x:c r="F122" s="2" t="str">
        <x:v>PASS</x:v>
      </x:c>
      <x:c r="G122" s="2" t="str">
        <x:v>Core relevant entities and subtopics include Idea list, printable vs commercial comparison, ordering steps and FAQs..</x:v>
      </x:c>
      <x:c r="H122" s="2"/>
      <x:c r="I122" s="2" t="s">
        <x:v>25</x:v>
      </x:c>
    </x:row>
    <x:row r="123" ht="37.95000076293945" customHeight="1">
      <x:c r="A123" s="2">
        <x:v>3</x:v>
      </x:c>
      <x:c r="B123" s="2" t="s">
        <x:v>14</x:v>
      </x:c>
      <x:c r="C123" s="2" t="s">
        <x:v>95</x:v>
      </x:c>
      <x:c r="D123" s="2" t="s">
        <x:v>93</x:v>
      </x:c>
      <x:c r="E123" s="2" t="s">
        <x:v>96</x:v>
      </x:c>
      <x:c r="F123" s="2" t="str">
        <x:v>PASS</x:v>
      </x:c>
      <x:c r="G123" s="2" t="str">
        <x:v>Explains relevant choices or relationships using Seven holiday + eight everyday concepts; DIY vs custom table; materials/finishes..</x:v>
      </x:c>
      <x:c r="H123" s="2"/>
      <x:c r="I123" s="2" t="s">
        <x:v>25</x:v>
      </x:c>
    </x:row>
    <x:row r="124" ht="37.95000076293945" customHeight="1">
      <x:c r="A124" s="2">
        <x:v>3</x:v>
      </x:c>
      <x:c r="B124" s="2" t="s">
        <x:v>14</x:v>
      </x:c>
      <x:c r="C124" s="2" t="s">
        <x:v>97</x:v>
      </x:c>
      <x:c r="D124" s="2" t="s">
        <x:v>93</x:v>
      </x:c>
      <x:c r="E124" s="2" t="s">
        <x:v>98</x:v>
      </x:c>
      <x:c r="F124" s="2" t="str">
        <x:v>PASS</x:v>
      </x:c>
      <x:c r="G124" s="2" t="str">
        <x:v>Headings group Idea list, printable vs commercial comparison, ordering steps and FAQs. in an understandable progression.</x:v>
      </x:c>
      <x:c r="H124" s="2"/>
      <x:c r="I124" s="2" t="s">
        <x:v>25</x:v>
      </x:c>
    </x:row>
    <x:row r="125" ht="37.95000076293945" customHeight="1">
      <x:c r="A125" s="2">
        <x:v>3</x:v>
      </x:c>
      <x:c r="B125" s="2" t="s">
        <x:v>14</x:v>
      </x:c>
      <x:c r="C125" s="2" t="s">
        <x:v>99</x:v>
      </x:c>
      <x:c r="D125" s="2" t="s">
        <x:v>93</x:v>
      </x:c>
      <x:c r="E125" s="2" t="s">
        <x:v>100</x:v>
      </x:c>
      <x:c r="F125" s="2" t="str">
        <x:v>PASS</x:v>
      </x:c>
      <x:c r="G125" s="2" t="str">
        <x:v>The body answers its core decision questions through Seven holiday + eight everyday concepts; DIY vs custom table; materials/finishes..</x:v>
      </x:c>
      <x:c r="H125" s="2"/>
      <x:c r="I125" s="2" t="s">
        <x:v>25</x:v>
      </x:c>
    </x:row>
    <x:row r="126" ht="37.95000076293945" customHeight="1">
      <x:c r="A126" s="2">
        <x:v>3</x:v>
      </x:c>
      <x:c r="B126" s="2" t="s">
        <x:v>14</x:v>
      </x:c>
      <x:c r="C126" s="2" t="s">
        <x:v>101</x:v>
      </x:c>
      <x:c r="D126" s="2" t="s">
        <x:v>93</x:v>
      </x:c>
      <x:c r="E126" s="2" t="s">
        <x:v>102</x:v>
      </x:c>
      <x:c r="F126" s="2" t="str">
        <x:v>PASS</x:v>
      </x:c>
      <x:c r="G126" s="2" t="str">
        <x:v>The core purpose is addressed by the sections listed; minor optional additions are not a major topical gap.</x:v>
      </x:c>
      <x:c r="H126" s="2"/>
      <x:c r="I126" s="2" t="s">
        <x:v>25</x:v>
      </x:c>
    </x:row>
    <x:row r="127" ht="37.95000076293945" customHeight="1">
      <x:c r="A127" s="2">
        <x:v>3</x:v>
      </x:c>
      <x:c r="B127" s="2" t="s">
        <x:v>14</x:v>
      </x:c>
      <x:c r="C127" s="2" t="s">
        <x:v>103</x:v>
      </x:c>
      <x:c r="D127" s="2" t="s">
        <x:v>93</x:v>
      </x:c>
      <x:c r="E127" s="2" t="s">
        <x:v>104</x:v>
      </x:c>
      <x:c r="F127" s="2" t="str">
        <x:v>ACCEPTABLE</x:v>
      </x:c>
      <x:c r="G127" s="2" t="str">
        <x:v>Each main group adds at least one topic or buyer function; routine recap and sales language are acceptable.</x:v>
      </x:c>
      <x:c r="H127" s="2"/>
      <x:c r="I127" s="2" t="s">
        <x:v>25</x:v>
      </x:c>
    </x:row>
    <x:row r="128" ht="37.95000076293945" customHeight="1">
      <x:c r="A128" s="2">
        <x:v>3</x:v>
      </x:c>
      <x:c r="B128" s="2" t="s">
        <x:v>14</x:v>
      </x:c>
      <x:c r="C128" s="2" t="s">
        <x:v>105</x:v>
      </x:c>
      <x:c r="D128" s="2" t="s">
        <x:v>106</x:v>
      </x:c>
      <x:c r="E128" s="2" t="s">
        <x:v>107</x:v>
      </x:c>
      <x:c r="F128" s="2" t="str">
        <x:v>PASS</x:v>
      </x:c>
      <x:c r="G128" s="2" t="str">
        <x:v>Beyond a definition, it includes practical material: Seven holiday + eight everyday concepts; DIY vs custom table; materials/finishes..</x:v>
      </x:c>
      <x:c r="H128" s="2"/>
      <x:c r="I128" s="2" t="s">
        <x:v>25</x:v>
      </x:c>
    </x:row>
    <x:row r="129" ht="37.95000076293945" customHeight="1">
      <x:c r="A129" s="2">
        <x:v>3</x:v>
      </x:c>
      <x:c r="B129" s="2" t="s">
        <x:v>14</x:v>
      </x:c>
      <x:c r="C129" s="2" t="s">
        <x:v>108</x:v>
      </x:c>
      <x:c r="D129" s="2" t="s">
        <x:v>106</x:v>
      </x:c>
      <x:c r="E129" s="2" t="s">
        <x:v>109</x:v>
      </x:c>
      <x:c r="F129" s="2" t="str">
        <x:v>PASS</x:v>
      </x:c>
      <x:c r="G129" s="2" t="str">
        <x:v>Examples/applications are present: Seven holiday + eight everyday concepts; DIY vs custom table; materials/finishes..</x:v>
      </x:c>
      <x:c r="H129" s="2"/>
      <x:c r="I129" s="2" t="s">
        <x:v>25</x:v>
      </x:c>
    </x:row>
    <x:row r="130" ht="37.95000076293945" customHeight="1">
      <x:c r="A130" s="2">
        <x:v>3</x:v>
      </x:c>
      <x:c r="B130" s="2" t="s">
        <x:v>14</x:v>
      </x:c>
      <x:c r="C130" s="2" t="s">
        <x:v>110</x:v>
      </x:c>
      <x:c r="D130" s="2" t="s">
        <x:v>106</x:v>
      </x:c>
      <x:c r="E130" s="2" t="s">
        <x:v>111</x:v>
      </x:c>
      <x:c r="F130" s="2" t="str">
        <x:v>PASS</x:v>
      </x:c>
      <x:c r="G130" s="2" t="str">
        <x:v>Actionable decision content is present: Practical for branded gift and retail tag decisions and seasonal buying..</x:v>
      </x:c>
      <x:c r="H130" s="2"/>
      <x:c r="I130" s="2" t="s">
        <x:v>25</x:v>
      </x:c>
    </x:row>
    <x:row r="131" ht="37.95000076293945" customHeight="1">
      <x:c r="A131" s="2">
        <x:v>3</x:v>
      </x:c>
      <x:c r="B131" s="2" t="s">
        <x:v>14</x:v>
      </x:c>
      <x:c r="C131" s="2" t="s">
        <x:v>112</x:v>
      </x:c>
      <x:c r="D131" s="2" t="s">
        <x:v>106</x:v>
      </x:c>
      <x:c r="E131" s="2" t="s">
        <x:v>113</x:v>
      </x:c>
      <x:c r="F131" s="2" t="str">
        <x:v>PASS</x:v>
      </x:c>
      <x:c r="G131" s="2" t="str">
        <x:v>Comparisons and choice guidance include: Seven holiday + eight everyday concepts; DIY vs custom table; materials/finishes..</x:v>
      </x:c>
      <x:c r="H131" s="2"/>
      <x:c r="I131" s="2" t="s">
        <x:v>25</x:v>
      </x:c>
    </x:row>
    <x:row r="132" ht="37.95000076293945" customHeight="1">
      <x:c r="A132" s="2">
        <x:v>3</x:v>
      </x:c>
      <x:c r="B132" s="2" t="s">
        <x:v>14</x:v>
      </x:c>
      <x:c r="C132" s="2" t="s">
        <x:v>114</x:v>
      </x:c>
      <x:c r="D132" s="2" t="s">
        <x:v>106</x:v>
      </x:c>
      <x:c r="E132" s="2" t="s">
        <x:v>115</x:v>
      </x:c>
      <x:c r="F132" s="2" t="str">
        <x:v>ACCEPTABLE</x:v>
      </x:c>
      <x:c r="G132" s="2" t="str">
        <x:v>Former optional finding excluded under the approved balanced standard; it is not a scored deficiency.</x:v>
      </x:c>
      <x:c r="H132" s="2"/>
      <x:c r="I132" s="2" t="s">
        <x:v>186</x:v>
      </x:c>
    </x:row>
    <x:row r="133" ht="37.95000076293945" customHeight="1">
      <x:c r="A133" s="2">
        <x:v>3</x:v>
      </x:c>
      <x:c r="B133" s="2" t="s">
        <x:v>14</x:v>
      </x:c>
      <x:c r="C133" s="2" t="s">
        <x:v>117</x:v>
      </x:c>
      <x:c r="D133" s="2" t="s">
        <x:v>106</x:v>
      </x:c>
      <x:c r="E133" s="2" t="s">
        <x:v>118</x:v>
      </x:c>
      <x:c r="F133" s="2" t="str">
        <x:v>NOT VERIFIED</x:v>
      </x:c>
      <x:c r="G133" s="2" t="str">
        <x:v>Originality/plagiarism cannot be proved from a published article alone; external comparison not performed.</x:v>
      </x:c>
      <x:c r="H133" s="2"/>
      <x:c r="I133" s="2" t="s">
        <x:v>25</x:v>
      </x:c>
    </x:row>
    <x:row r="134" ht="37.95000076293945" customHeight="1">
      <x:c r="A134" s="2">
        <x:v>3</x:v>
      </x:c>
      <x:c r="B134" s="2" t="s">
        <x:v>14</x:v>
      </x:c>
      <x:c r="C134" s="2" t="s">
        <x:v>119</x:v>
      </x:c>
      <x:c r="D134" s="2" t="s">
        <x:v>120</x:v>
      </x:c>
      <x:c r="E134" s="2" t="s">
        <x:v>121</x:v>
      </x:c>
      <x:c r="F134" s="2" t="str">
        <x:v>ACCEPTABLE</x:v>
      </x:c>
      <x:c r="G134" s="2" t="str">
        <x:v>The introduction is relevant: Promises personalized tag ideas and an ordering process, then supplies all 15 ideas.. Background is acceptable when it frames the topic.</x:v>
      </x:c>
      <x:c r="H134" s="2"/>
      <x:c r="I134" s="2" t="s">
        <x:v>25</x:v>
      </x:c>
    </x:row>
    <x:row r="135" ht="37.95000076293945" customHeight="1">
      <x:c r="A135" s="2">
        <x:v>3</x:v>
      </x:c>
      <x:c r="B135" s="2" t="s">
        <x:v>14</x:v>
      </x:c>
      <x:c r="C135" s="2" t="s">
        <x:v>122</x:v>
      </x:c>
      <x:c r="D135" s="2" t="s">
        <x:v>120</x:v>
      </x:c>
      <x:c r="E135" s="2" t="s">
        <x:v>123</x:v>
      </x:c>
      <x:c r="F135" s="2" t="str">
        <x:v>PASS</x:v>
      </x:c>
      <x:c r="G135" s="2" t="str">
        <x:v>Headings describe the article’s real sections: Idea list, printable vs commercial comparison, ordering steps and FAQs..</x:v>
      </x:c>
      <x:c r="H135" s="2"/>
      <x:c r="I135" s="2" t="s">
        <x:v>25</x:v>
      </x:c>
    </x:row>
    <x:row r="136" ht="37.95000076293945" customHeight="1">
      <x:c r="A136" s="2">
        <x:v>3</x:v>
      </x:c>
      <x:c r="B136" s="2" t="s">
        <x:v>14</x:v>
      </x:c>
      <x:c r="C136" s="2" t="s">
        <x:v>124</x:v>
      </x:c>
      <x:c r="D136" s="2" t="s">
        <x:v>120</x:v>
      </x:c>
      <x:c r="E136" s="2" t="s">
        <x:v>125</x:v>
      </x:c>
      <x:c r="F136" s="2" t="str">
        <x:v>PASS</x:v>
      </x:c>
      <x:c r="G136" s="2" t="str">
        <x:v>The article’s main examples and instructions are understandable: Seven holiday + eight everyday concepts; DIY vs custom table; materials/finishes..</x:v>
      </x:c>
      <x:c r="H136" s="2"/>
      <x:c r="I136" s="2" t="s">
        <x:v>25</x:v>
      </x:c>
    </x:row>
    <x:row r="137" ht="37.95000076293945" customHeight="1">
      <x:c r="A137" s="2">
        <x:v>3</x:v>
      </x:c>
      <x:c r="B137" s="2" t="s">
        <x:v>14</x:v>
      </x:c>
      <x:c r="C137" s="2" t="s">
        <x:v>126</x:v>
      </x:c>
      <x:c r="D137" s="2" t="s">
        <x:v>120</x:v>
      </x:c>
      <x:c r="E137" s="2" t="s">
        <x:v>127</x:v>
      </x:c>
      <x:c r="F137" s="2" t="str">
        <x:v>PASS</x:v>
      </x:c>
      <x:c r="G137" s="2" t="str">
        <x:v>The article moves through Idea list, printable vs commercial comparison, ordering steps and FAQs. in a logical order. Minor repeated branding is allowed.</x:v>
      </x:c>
      <x:c r="H137" s="2"/>
      <x:c r="I137" s="2" t="s">
        <x:v>25</x:v>
      </x:c>
    </x:row>
    <x:row r="138" ht="37.95000076293945" customHeight="1">
      <x:c r="A138" s="2">
        <x:v>3</x:v>
      </x:c>
      <x:c r="B138" s="2" t="s">
        <x:v>14</x:v>
      </x:c>
      <x:c r="C138" s="2" t="s">
        <x:v>128</x:v>
      </x:c>
      <x:c r="D138" s="2" t="s">
        <x:v>120</x:v>
      </x:c>
      <x:c r="E138" s="2" t="s">
        <x:v>129</x:v>
      </x:c>
      <x:c r="F138" s="2" t="str">
        <x:v>PASS</x:v>
      </x:c>
      <x:c r="G138" s="2" t="str">
        <x:v>Comparisons, examples or steps are available: Seven holiday + eight everyday concepts; DIY vs custom table; materials/finishes..</x:v>
      </x:c>
      <x:c r="H138" s="2"/>
      <x:c r="I138" s="2" t="s">
        <x:v>25</x:v>
      </x:c>
    </x:row>
    <x:row r="139" ht="37.95000076293945" customHeight="1">
      <x:c r="A139" s="2">
        <x:v>3</x:v>
      </x:c>
      <x:c r="B139" s="2" t="s">
        <x:v>14</x:v>
      </x:c>
      <x:c r="C139" s="2" t="s">
        <x:v>130</x:v>
      </x:c>
      <x:c r="D139" s="2" t="s">
        <x:v>120</x:v>
      </x:c>
      <x:c r="E139" s="2" t="s">
        <x:v>131</x:v>
      </x:c>
      <x:c r="F139" s="2" t="str">
        <x:v>PASS</x:v>
      </x:c>
      <x:c r="G139" s="2" t="str">
        <x:v>Closing guidance returns to the packaging or purchasing choice: Practical for branded gift and retail tag decisions and seasonal buying..</x:v>
      </x:c>
      <x:c r="H139" s="2"/>
      <x:c r="I139" s="2" t="s">
        <x:v>25</x:v>
      </x:c>
    </x:row>
    <x:row r="140" ht="37.95000076293945" customHeight="1">
      <x:c r="A140" s="2">
        <x:v>3</x:v>
      </x:c>
      <x:c r="B140" s="2" t="s">
        <x:v>14</x:v>
      </x:c>
      <x:c r="C140" s="2" t="s">
        <x:v>132</x:v>
      </x:c>
      <x:c r="D140" s="2" t="s">
        <x:v>133</x:v>
      </x:c>
      <x:c r="E140" s="2" t="s">
        <x:v>134</x:v>
      </x:c>
      <x:c r="F140" s="2" t="str">
        <x:v>PASS</x:v>
      </x:c>
      <x:c r="G140" s="2" t="str">
        <x:v>Title/H1 and main topic language naturally match Personalized Gift Tags: Ideas for Every Occasion.</x:v>
      </x:c>
      <x:c r="H140" s="2"/>
      <x:c r="I140" s="2" t="s">
        <x:v>25</x:v>
      </x:c>
    </x:row>
    <x:row r="141" ht="37.95000076293945" customHeight="1">
      <x:c r="A141" s="2">
        <x:v>3</x:v>
      </x:c>
      <x:c r="B141" s="2" t="s">
        <x:v>14</x:v>
      </x:c>
      <x:c r="C141" s="2" t="s">
        <x:v>135</x:v>
      </x:c>
      <x:c r="D141" s="2" t="s">
        <x:v>133</x:v>
      </x:c>
      <x:c r="E141" s="2" t="s">
        <x:v>136</x:v>
      </x:c>
      <x:c r="F141" s="2" t="str">
        <x:v>PASS</x:v>
      </x:c>
      <x:c r="G141" s="2" t="str">
        <x:v>The wording naturally includes supporting product, material, use and buyer terms.</x:v>
      </x:c>
      <x:c r="H141" s="2"/>
      <x:c r="I141" s="2" t="s">
        <x:v>25</x:v>
      </x:c>
    </x:row>
    <x:row r="142" ht="37.95000076293945" customHeight="1">
      <x:c r="A142" s="2">
        <x:v>3</x:v>
      </x:c>
      <x:c r="B142" s="2" t="s">
        <x:v>14</x:v>
      </x:c>
      <x:c r="C142" s="2" t="s">
        <x:v>137</x:v>
      </x:c>
      <x:c r="D142" s="2" t="s">
        <x:v>133</x:v>
      </x:c>
      <x:c r="E142" s="2" t="s">
        <x:v>138</x:v>
      </x:c>
      <x:c r="F142" s="2" t="str">
        <x:v>PASS</x:v>
      </x:c>
      <x:c r="G142" s="2" t="str">
        <x:v>Section headings serve navigation rather than apparent keyword repetition: Idea list, printable vs commercial comparison, ordering steps and FAQs..</x:v>
      </x:c>
      <x:c r="H142" s="2"/>
      <x:c r="I142" s="2" t="s">
        <x:v>25</x:v>
      </x:c>
    </x:row>
    <x:row r="143" ht="37.95000076293945" customHeight="1">
      <x:c r="A143" s="2">
        <x:v>3</x:v>
      </x:c>
      <x:c r="B143" s="2" t="s">
        <x:v>14</x:v>
      </x:c>
      <x:c r="C143" s="2" t="s">
        <x:v>139</x:v>
      </x:c>
      <x:c r="D143" s="2" t="s">
        <x:v>133</x:v>
      </x:c>
      <x:c r="E143" s="2" t="s">
        <x:v>140</x:v>
      </x:c>
      <x:c r="F143" s="2" t="str">
        <x:v>PASS</x:v>
      </x:c>
      <x:c r="G143" s="2" t="str">
        <x:v>No material pattern of unnatural exact-keyword repetition was established.</x:v>
      </x:c>
      <x:c r="H143" s="2"/>
      <x:c r="I143" s="2" t="s">
        <x:v>25</x:v>
      </x:c>
    </x:row>
    <x:row r="144" ht="37.95000076293945" customHeight="1">
      <x:c r="A144" s="2">
        <x:v>3</x:v>
      </x:c>
      <x:c r="B144" s="2" t="s">
        <x:v>14</x:v>
      </x:c>
      <x:c r="C144" s="2" t="s">
        <x:v>141</x:v>
      </x:c>
      <x:c r="D144" s="2" t="s">
        <x:v>133</x:v>
      </x:c>
      <x:c r="E144" s="2" t="s">
        <x:v>142</x:v>
      </x:c>
      <x:c r="F144" s="2" t="str">
        <x:v>PASS</x:v>
      </x:c>
      <x:c r="G144" s="2" t="str">
        <x:v>The guide remains centered on the single intended question: Personalized Gift Tags: Ideas for Every Occasion.</x:v>
      </x:c>
      <x:c r="H144" s="2"/>
      <x:c r="I144" s="2" t="s">
        <x:v>25</x:v>
      </x:c>
    </x:row>
    <x:row r="145" ht="37.95000076293945" customHeight="1">
      <x:c r="A145" s="2">
        <x:v>3</x:v>
      </x:c>
      <x:c r="B145" s="2" t="s">
        <x:v>14</x:v>
      </x:c>
      <x:c r="C145" s="2" t="s">
        <x:v>143</x:v>
      </x:c>
      <x:c r="D145" s="2" t="s">
        <x:v>144</x:v>
      </x:c>
      <x:c r="E145" s="2" t="s">
        <x:v>145</x:v>
      </x:c>
      <x:c r="F145" s="2" t="str">
        <x:v>PASS</x:v>
      </x:c>
      <x:c r="G145" s="2" t="str">
        <x:v>The business reader is apparent from: Practical for branded gift and retail tag decisions and seasonal buying..</x:v>
      </x:c>
      <x:c r="H145" s="2"/>
      <x:c r="I145" s="2" t="s">
        <x:v>25</x:v>
      </x:c>
    </x:row>
    <x:row r="146" ht="37.95000076293945" customHeight="1">
      <x:c r="A146" s="2">
        <x:v>3</x:v>
      </x:c>
      <x:c r="B146" s="2" t="s">
        <x:v>14</x:v>
      </x:c>
      <x:c r="C146" s="2" t="s">
        <x:v>146</x:v>
      </x:c>
      <x:c r="D146" s="2" t="s">
        <x:v>144</x:v>
      </x:c>
      <x:c r="E146" s="2" t="s">
        <x:v>147</x:v>
      </x:c>
      <x:c r="F146" s="2" t="str">
        <x:v>PASS</x:v>
      </x:c>
      <x:c r="G146" s="2" t="str">
        <x:v>Practical procurement and buyer needs covered: Practical for branded gift and retail tag decisions and seasonal buying..</x:v>
      </x:c>
      <x:c r="H146" s="2"/>
      <x:c r="I146" s="2" t="s">
        <x:v>25</x:v>
      </x:c>
    </x:row>
    <x:row r="147" ht="37.95000076293945" customHeight="1">
      <x:c r="A147" s="2">
        <x:v>3</x:v>
      </x:c>
      <x:c r="B147" s="2" t="s">
        <x:v>14</x:v>
      </x:c>
      <x:c r="C147" s="2" t="s">
        <x:v>148</x:v>
      </x:c>
      <x:c r="D147" s="2" t="s">
        <x:v>144</x:v>
      </x:c>
      <x:c r="E147" s="2" t="s">
        <x:v>149</x:v>
      </x:c>
      <x:c r="F147" s="2" t="str">
        <x:v>ACCEPTABLE</x:v>
      </x:c>
      <x:c r="G147" s="2" t="str">
        <x:v>Former optional finding excluded under the approved balanced standard; it is not a scored deficiency.</x:v>
      </x:c>
      <x:c r="H147" s="2"/>
      <x:c r="I147" s="2" t="s">
        <x:v>186</x:v>
      </x:c>
    </x:row>
    <x:row r="148" ht="37.95000076293945" customHeight="1">
      <x:c r="A148" s="2">
        <x:v>3</x:v>
      </x:c>
      <x:c r="B148" s="2" t="s">
        <x:v>14</x:v>
      </x:c>
      <x:c r="C148" s="2" t="s">
        <x:v>150</x:v>
      </x:c>
      <x:c r="D148" s="2" t="s">
        <x:v>144</x:v>
      </x:c>
      <x:c r="E148" s="2" t="s">
        <x:v>151</x:v>
      </x:c>
      <x:c r="F148" s="2" t="str">
        <x:v>PASS</x:v>
      </x:c>
      <x:c r="G148" s="2" t="str">
        <x:v>Provides substantive assistance through Seven holiday + eight everyday concepts; DIY vs custom table; materials/finishes.; material misleading elements noted as unique issues.</x:v>
      </x:c>
      <x:c r="H148" s="2"/>
      <x:c r="I148" s="2" t="s">
        <x:v>25</x:v>
      </x:c>
    </x:row>
    <x:row r="149" ht="37.95000076293945" customHeight="1">
      <x:c r="A149" s="2">
        <x:v>3</x:v>
      </x:c>
      <x:c r="B149" s="2" t="s">
        <x:v>14</x:v>
      </x:c>
      <x:c r="C149" s="2" t="s">
        <x:v>152</x:v>
      </x:c>
      <x:c r="D149" s="2" t="s">
        <x:v>144</x:v>
      </x:c>
      <x:c r="E149" s="2" t="s">
        <x:v>153</x:v>
      </x:c>
      <x:c r="F149" s="2" t="str">
        <x:v>PASS</x:v>
      </x:c>
      <x:c r="G149" s="2" t="str">
        <x:v>Linked/referenced products are part of its named packaging or printing topic.</x:v>
      </x:c>
      <x:c r="H149" s="2"/>
      <x:c r="I149" s="2" t="s">
        <x:v>25</x:v>
      </x:c>
    </x:row>
    <x:row r="150" ht="37.95000076293945" customHeight="1">
      <x:c r="A150" s="2">
        <x:v>3</x:v>
      </x:c>
      <x:c r="B150" s="2" t="s">
        <x:v>14</x:v>
      </x:c>
      <x:c r="C150" s="2" t="s">
        <x:v>154</x:v>
      </x:c>
      <x:c r="D150" s="2" t="s">
        <x:v>144</x:v>
      </x:c>
      <x:c r="E150" s="2" t="s">
        <x:v>155</x:v>
      </x:c>
      <x:c r="F150" s="2" t="str">
        <x:v>PASS</x:v>
      </x:c>
      <x:c r="G150" s="2" t="str">
        <x:v>Relevant business supplier CTA appears at conclusion; ordinary service promotion is acceptable.</x:v>
      </x:c>
      <x:c r="H150" s="2"/>
      <x:c r="I150" s="2" t="s">
        <x:v>25</x:v>
      </x:c>
    </x:row>
    <x:row r="151" ht="37.95000076293945" customHeight="1">
      <x:c r="A151" s="2">
        <x:v>3</x:v>
      </x:c>
      <x:c r="B151" s="2" t="s">
        <x:v>14</x:v>
      </x:c>
      <x:c r="C151" s="2" t="s">
        <x:v>156</x:v>
      </x:c>
      <x:c r="D151" s="2" t="s">
        <x:v>157</x:v>
      </x:c>
      <x:c r="E151" s="2" t="s">
        <x:v>158</x:v>
      </x:c>
      <x:c r="F151" s="2" t="str">
        <x:v>PASS</x:v>
      </x:c>
      <x:c r="G151" s="2" t="str">
        <x:v>Published article includes contextual product, category or informational internal links; exhaustive audit not conducted.</x:v>
      </x:c>
      <x:c r="H151" s="2"/>
      <x:c r="I151" s="2" t="s">
        <x:v>25</x:v>
      </x:c>
    </x:row>
    <x:row r="152" ht="37.95000076293945" customHeight="1">
      <x:c r="A152" s="2">
        <x:v>3</x:v>
      </x:c>
      <x:c r="B152" s="2" t="s">
        <x:v>14</x:v>
      </x:c>
      <x:c r="C152" s="2" t="s">
        <x:v>159</x:v>
      </x:c>
      <x:c r="D152" s="2" t="s">
        <x:v>157</x:v>
      </x:c>
      <x:c r="E152" s="2" t="s">
        <x:v>160</x:v>
      </x:c>
      <x:c r="F152" s="2" t="str">
        <x:v>PASS</x:v>
      </x:c>
      <x:c r="G152" s="2" t="str">
        <x:v>Sample source-anchor wording is descriptive in the published article; exhaustive links untested.</x:v>
      </x:c>
      <x:c r="H152" s="2"/>
      <x:c r="I152" s="2" t="s">
        <x:v>25</x:v>
      </x:c>
    </x:row>
    <x:row r="153" ht="37.95000076293945" customHeight="1">
      <x:c r="A153" s="2">
        <x:v>3</x:v>
      </x:c>
      <x:c r="B153" s="2" t="s">
        <x:v>14</x:v>
      </x:c>
      <x:c r="C153" s="2" t="s">
        <x:v>161</x:v>
      </x:c>
      <x:c r="D153" s="2" t="s">
        <x:v>157</x:v>
      </x:c>
      <x:c r="E153" s="2" t="s">
        <x:v>162</x:v>
      </x:c>
      <x:c r="F153" s="2" t="str">
        <x:v>PASS</x:v>
      </x:c>
      <x:c r="G153" s="2" t="str">
        <x:v>Observed internal references are contextually related to the article topic.</x:v>
      </x:c>
      <x:c r="H153" s="2"/>
      <x:c r="I153" s="2" t="s">
        <x:v>25</x:v>
      </x:c>
    </x:row>
    <x:row r="154" ht="37.95000076293945" customHeight="1">
      <x:c r="A154" s="2">
        <x:v>3</x:v>
      </x:c>
      <x:c r="B154" s="2" t="s">
        <x:v>14</x:v>
      </x:c>
      <x:c r="C154" s="2" t="s">
        <x:v>163</x:v>
      </x:c>
      <x:c r="D154" s="2" t="s">
        <x:v>157</x:v>
      </x:c>
      <x:c r="E154" s="2" t="s">
        <x:v>164</x:v>
      </x:c>
      <x:c r="F154" s="2" t="str">
        <x:v>NOT VERIFIED</x:v>
      </x:c>
      <x:c r="G154" s="2" t="str">
        <x:v>A systematic live HTTP/redirect check of every linked destination was not performed.</x:v>
      </x:c>
      <x:c r="H154" s="2"/>
      <x:c r="I154" s="2" t="s">
        <x:v>25</x:v>
      </x:c>
    </x:row>
    <x:row r="155" ht="37.95000076293945" customHeight="1">
      <x:c r="A155" s="2">
        <x:v>3</x:v>
      </x:c>
      <x:c r="B155" s="2" t="s">
        <x:v>14</x:v>
      </x:c>
      <x:c r="C155" s="2" t="s">
        <x:v>165</x:v>
      </x:c>
      <x:c r="D155" s="2" t="s">
        <x:v>157</x:v>
      </x:c>
      <x:c r="E155" s="2" t="s">
        <x:v>166</x:v>
      </x:c>
      <x:c r="F155" s="2" t="str">
        <x:v>NOT VERIFIED</x:v>
      </x:c>
      <x:c r="G155" s="2" t="str">
        <x:v>A complete site inventory and internal-link opportunity analysis was not performed.</x:v>
      </x:c>
      <x:c r="H155" s="2"/>
      <x:c r="I155" s="2" t="s">
        <x:v>25</x:v>
      </x:c>
    </x:row>
    <x:row r="156" ht="37.95000076293945" customHeight="1">
      <x:c r="A156" s="2">
        <x:v>3</x:v>
      </x:c>
      <x:c r="B156" s="2" t="s">
        <x:v>14</x:v>
      </x:c>
      <x:c r="C156" s="2" t="s">
        <x:v>167</x:v>
      </x:c>
      <x:c r="D156" s="2" t="s">
        <x:v>168</x:v>
      </x:c>
      <x:c r="E156" s="2" t="s">
        <x:v>169</x:v>
      </x:c>
      <x:c r="F156" s="2" t="str">
        <x:v>ACCEPTABLE</x:v>
      </x:c>
      <x:c r="G156" s="2" t="str">
        <x:v>Minor isolated language errors are tolerated when meaning is intact; no substantial grammar breakdown observed.</x:v>
      </x:c>
      <x:c r="H156" s="2"/>
      <x:c r="I156" s="2" t="s">
        <x:v>25</x:v>
      </x:c>
    </x:row>
    <x:row r="157" ht="37.95000076293945" customHeight="1">
      <x:c r="A157" s="2">
        <x:v>3</x:v>
      </x:c>
      <x:c r="B157" s="2" t="s">
        <x:v>14</x:v>
      </x:c>
      <x:c r="C157" s="2" t="s">
        <x:v>170</x:v>
      </x:c>
      <x:c r="D157" s="2" t="s">
        <x:v>168</x:v>
      </x:c>
      <x:c r="E157" s="2" t="s">
        <x:v>171</x:v>
      </x:c>
      <x:c r="F157" s="2" t="str">
        <x:v>PASS</x:v>
      </x:c>
      <x:c r="G157" s="2" t="str">
        <x:v>Uses US buyer context, inches where relevant, and no consequential British/American mix established.</x:v>
      </x:c>
      <x:c r="H157" s="2"/>
      <x:c r="I157" s="2" t="s">
        <x:v>25</x:v>
      </x:c>
    </x:row>
    <x:row r="158" ht="37.95000076293945" customHeight="1">
      <x:c r="A158" s="2">
        <x:v>3</x:v>
      </x:c>
      <x:c r="B158" s="2" t="s">
        <x:v>14</x:v>
      </x:c>
      <x:c r="C158" s="2" t="s">
        <x:v>172</x:v>
      </x:c>
      <x:c r="D158" s="2" t="s">
        <x:v>168</x:v>
      </x:c>
      <x:c r="E158" s="2" t="s">
        <x:v>173</x:v>
      </x:c>
      <x:c r="F158" s="2" t="str">
        <x:v>ACCEPTABLE</x:v>
      </x:c>
      <x:c r="G158" s="2" t="str">
        <x:v>Professional intent and readable examples are clear. Routine conversational language is acceptable.</x:v>
      </x:c>
      <x:c r="H158" s="2"/>
      <x:c r="I158" s="2" t="s">
        <x:v>25</x:v>
      </x:c>
    </x:row>
    <x:row r="159" ht="37.95000076293945" customHeight="1">
      <x:c r="A159" s="2">
        <x:v>3</x:v>
      </x:c>
      <x:c r="B159" s="2" t="s">
        <x:v>14</x:v>
      </x:c>
      <x:c r="C159" s="2" t="s">
        <x:v>174</x:v>
      </x:c>
      <x:c r="D159" s="2" t="s">
        <x:v>168</x:v>
      </x:c>
      <x:c r="E159" s="2" t="s">
        <x:v>175</x:v>
      </x:c>
      <x:c r="F159" s="2" t="str">
        <x:v>ACCEPTABLE</x:v>
      </x:c>
      <x:c r="G159" s="2" t="str">
        <x:v>Editorial voice is commercially appropriate; minor stylistic variation is not a failure.</x:v>
      </x:c>
      <x:c r="H159" s="2"/>
      <x:c r="I159" s="2" t="s">
        <x:v>25</x:v>
      </x:c>
    </x:row>
    <x:row r="160" ht="37.95000076293945" customHeight="1">
      <x:c r="A160" s="2">
        <x:v>3</x:v>
      </x:c>
      <x:c r="B160" s="2" t="s">
        <x:v>14</x:v>
      </x:c>
      <x:c r="C160" s="2" t="s">
        <x:v>176</x:v>
      </x:c>
      <x:c r="D160" s="2" t="s">
        <x:v>168</x:v>
      </x:c>
      <x:c r="E160" s="2" t="s">
        <x:v>177</x:v>
      </x:c>
      <x:c r="F160" s="2" t="str">
        <x:v>ACCEPTABLE</x:v>
      </x:c>
      <x:c r="G160" s="2" t="str">
        <x:v>Small redundancies are acceptable; only materially distracting repetition would be scored.</x:v>
      </x:c>
      <x:c r="H160" s="2"/>
      <x:c r="I160" s="2" t="s">
        <x:v>25</x:v>
      </x:c>
    </x:row>
    <x:row r="161" ht="37.95000076293945" customHeight="1">
      <x:c r="A161" s="2">
        <x:v>3</x:v>
      </x:c>
      <x:c r="B161" s="2" t="s">
        <x:v>14</x:v>
      </x:c>
      <x:c r="C161" s="2" t="s">
        <x:v>178</x:v>
      </x:c>
      <x:c r="D161" s="2" t="s">
        <x:v>168</x:v>
      </x:c>
      <x:c r="E161" s="2" t="s">
        <x:v>179</x:v>
      </x:c>
      <x:c r="F161" s="2" t="str">
        <x:v>ACCEPTABLE</x:v>
      </x:c>
      <x:c r="G161" s="2" t="str">
        <x:v>Routine advertising puffery is permitted; objective measurable errors are noted as distinct issues.</x:v>
      </x:c>
      <x:c r="H161" s="2"/>
      <x:c r="I161" s="2" t="s">
        <x:v>25</x:v>
      </x:c>
    </x:row>
    <x:row r="162" ht="37.95000076293945" customHeight="1">
      <x:c r="A162" s="2">
        <x:v>4</x:v>
      </x:c>
      <x:c r="B162" s="2" t="s">
        <x:v>15</x:v>
      </x:c>
      <x:c r="C162" s="2" t="s">
        <x:v>65</x:v>
      </x:c>
      <x:c r="D162" s="2" t="s">
        <x:v>66</x:v>
      </x:c>
      <x:c r="E162" s="2" t="s">
        <x:v>67</x:v>
      </x:c>
      <x:c r="F162" s="2" t="str">
        <x:v>PASS</x:v>
      </x:c>
      <x:c r="G162" s="2" t="str">
        <x:v>The published H1 and body directly address: Address Labels Explained: Types, Sizes, Materials.</x:v>
      </x:c>
      <x:c r="H162" s="2"/>
      <x:c r="I162" s="2" t="s">
        <x:v>26</x:v>
      </x:c>
    </x:row>
    <x:row r="163" ht="37.95000076293945" customHeight="1">
      <x:c r="A163" s="2">
        <x:v>4</x:v>
      </x:c>
      <x:c r="B163" s="2" t="s">
        <x:v>15</x:v>
      </x:c>
      <x:c r="C163" s="2" t="s">
        <x:v>68</x:v>
      </x:c>
      <x:c r="D163" s="2" t="s">
        <x:v>66</x:v>
      </x:c>
      <x:c r="E163" s="2" t="s">
        <x:v>69</x:v>
      </x:c>
      <x:c r="F163" s="2" t="str">
        <x:v>PASS</x:v>
      </x:c>
      <x:c r="G163" s="2" t="str">
        <x:v>The published title matches the topics delivered: Five label types, size chart, substrates, carrier workflows and printing methods..</x:v>
      </x:c>
      <x:c r="H163" s="2"/>
      <x:c r="I163" s="2" t="s">
        <x:v>26</x:v>
      </x:c>
    </x:row>
    <x:row r="164" ht="37.95000076293945" customHeight="1">
      <x:c r="A164" s="2">
        <x:v>4</x:v>
      </x:c>
      <x:c r="B164" s="2" t="s">
        <x:v>15</x:v>
      </x:c>
      <x:c r="C164" s="2" t="s">
        <x:v>70</x:v>
      </x:c>
      <x:c r="D164" s="2" t="s">
        <x:v>66</x:v>
      </x:c>
      <x:c r="E164" s="2" t="s">
        <x:v>71</x:v>
      </x:c>
      <x:c r="F164" s="2" t="str">
        <x:v>ACCEPTABLE</x:v>
      </x:c>
      <x:c r="G164" s="2" t="str">
        <x:v>The introduction is relevant: States what address labels do and promises types, sizes, materials and printing methods.. Direct-answer placement is not mandatory.</x:v>
      </x:c>
      <x:c r="H164" s="2"/>
      <x:c r="I164" s="2" t="s">
        <x:v>26</x:v>
      </x:c>
    </x:row>
    <x:row r="165" ht="37.95000076293945" customHeight="1">
      <x:c r="A165" s="2">
        <x:v>4</x:v>
      </x:c>
      <x:c r="B165" s="2" t="s">
        <x:v>15</x:v>
      </x:c>
      <x:c r="C165" s="2" t="s">
        <x:v>72</x:v>
      </x:c>
      <x:c r="D165" s="2" t="s">
        <x:v>66</x:v>
      </x:c>
      <x:c r="E165" s="2" t="s">
        <x:v>73</x:v>
      </x:c>
      <x:c r="F165" s="2" t="str">
        <x:v>PASS</x:v>
      </x:c>
      <x:c r="G165" s="2" t="str">
        <x:v>The article provides an answer through: Five label types, size chart, substrates, carrier workflows and printing methods..</x:v>
      </x:c>
      <x:c r="H165" s="2"/>
      <x:c r="I165" s="2" t="s">
        <x:v>26</x:v>
      </x:c>
    </x:row>
    <x:row r="166" ht="37.95000076293945" customHeight="1">
      <x:c r="A166" s="2">
        <x:v>4</x:v>
      </x:c>
      <x:c r="B166" s="2" t="s">
        <x:v>15</x:v>
      </x:c>
      <x:c r="C166" s="2" t="s">
        <x:v>74</x:v>
      </x:c>
      <x:c r="D166" s="2" t="s">
        <x:v>66</x:v>
      </x:c>
      <x:c r="E166" s="2" t="s">
        <x:v>75</x:v>
      </x:c>
      <x:c r="F166" s="2" t="str">
        <x:v>PASS</x:v>
      </x:c>
      <x:c r="G166" s="2" t="str">
        <x:v>Subsections remain relevant to: Five label types, size chart, substrates, carrier workflows and printing methods.; ordinary marketing context is acceptable.</x:v>
      </x:c>
      <x:c r="H166" s="2"/>
      <x:c r="I166" s="2" t="s">
        <x:v>26</x:v>
      </x:c>
    </x:row>
    <x:row r="167" ht="37.95000076293945" customHeight="1">
      <x:c r="A167" s="2">
        <x:v>4</x:v>
      </x:c>
      <x:c r="B167" s="2" t="s">
        <x:v>15</x:v>
      </x:c>
      <x:c r="C167" s="2" t="s">
        <x:v>76</x:v>
      </x:c>
      <x:c r="D167" s="2" t="s">
        <x:v>66</x:v>
      </x:c>
      <x:c r="E167" s="2" t="s">
        <x:v>77</x:v>
      </x:c>
      <x:c r="F167" s="2" t="str">
        <x:v>PASS</x:v>
      </x:c>
      <x:c r="G167" s="2" t="str">
        <x:v>Informational/commercial intent addressed by: Useful for shipping and e-commerce operational choices..</x:v>
      </x:c>
      <x:c r="H167" s="2"/>
      <x:c r="I167" s="2" t="s">
        <x:v>26</x:v>
      </x:c>
    </x:row>
    <x:row r="168" ht="37.95000076293945" customHeight="1">
      <x:c r="A168" s="2">
        <x:v>4</x:v>
      </x:c>
      <x:c r="B168" s="2" t="s">
        <x:v>15</x:v>
      </x:c>
      <x:c r="C168" s="2" t="s">
        <x:v>78</x:v>
      </x:c>
      <x:c r="D168" s="2" t="s">
        <x:v>79</x:v>
      </x:c>
      <x:c r="E168" s="2" t="s">
        <x:v>80</x:v>
      </x:c>
      <x:c r="F168" s="2" t="str">
        <x:v>FAIL</x:v>
      </x:c>
      <x:c r="G168" s="2" t="str">
        <x:v>MH-B04-01: Label-material selection wrongly said to depend solely on printer — Media selection also depends on exposure, surface energy, adhesive, handling, durability and intended service life. The article itself later acknowledges some of these factors, making “solely” materially misleading.</x:v>
      </x:c>
      <x:c r="H168" s="2" t="str">
        <x:v>MH-B04-01</x:v>
      </x:c>
      <x:c r="I168" s="2" t="s">
        <x:v>187</x:v>
      </x:c>
    </x:row>
    <x:row r="169" ht="37.95000076293945" customHeight="1">
      <x:c r="A169" s="2">
        <x:v>4</x:v>
      </x:c>
      <x:c r="B169" s="2" t="s">
        <x:v>15</x:v>
      </x:c>
      <x:c r="C169" s="2" t="s">
        <x:v>82</x:v>
      </x:c>
      <x:c r="D169" s="2" t="s">
        <x:v>79</x:v>
      </x:c>
      <x:c r="E169" s="2" t="s">
        <x:v>83</x:v>
      </x:c>
      <x:c r="F169" s="2" t="str">
        <x:v>FAIL</x:v>
      </x:c>
      <x:c r="G169" s="2" t="str">
        <x:v>MH-B04-01: Label-material selection wrongly said to depend solely on printer — Media selection also depends on exposure, surface energy, adhesive, handling, durability and intended service life. The article itself later acknowledges some of these factors, making “solely” materially misleading.</x:v>
      </x:c>
      <x:c r="H169" s="2" t="str">
        <x:v>MH-B04-01</x:v>
      </x:c>
      <x:c r="I169" s="2" t="s">
        <x:v>188</x:v>
      </x:c>
    </x:row>
    <x:row r="170" ht="37.95000076293945" customHeight="1">
      <x:c r="A170" s="2">
        <x:v>4</x:v>
      </x:c>
      <x:c r="B170" s="2" t="s">
        <x:v>15</x:v>
      </x:c>
      <x:c r="C170" s="2" t="s">
        <x:v>84</x:v>
      </x:c>
      <x:c r="D170" s="2" t="s">
        <x:v>79</x:v>
      </x:c>
      <x:c r="E170" s="2" t="s">
        <x:v>85</x:v>
      </x:c>
      <x:c r="F170" s="2" t="str">
        <x:v>PASS</x:v>
      </x:c>
      <x:c r="G170" s="2" t="str">
        <x:v>Measurable statements evaluated separately from routine promotional language; review cited unique issues and source limits.</x:v>
      </x:c>
      <x:c r="H170" s="2"/>
      <x:c r="I170" s="2" t="s">
        <x:v>26</x:v>
      </x:c>
    </x:row>
    <x:row r="171" ht="37.95000076293945" customHeight="1">
      <x:c r="A171" s="2">
        <x:v>4</x:v>
      </x:c>
      <x:c r="B171" s="2" t="s">
        <x:v>15</x:v>
      </x:c>
      <x:c r="C171" s="2" t="s">
        <x:v>86</x:v>
      </x:c>
      <x:c r="D171" s="2" t="s">
        <x:v>79</x:v>
      </x:c>
      <x:c r="E171" s="2" t="s">
        <x:v>87</x:v>
      </x:c>
      <x:c r="F171" s="2" t="str">
        <x:v>FAIL</x:v>
      </x:c>
      <x:c r="G171" s="2" t="str">
        <x:v>MH-B04-01: Label-material selection wrongly said to depend solely on printer — Media selection also depends on exposure, surface energy, adhesive, handling, durability and intended service life. The article itself later acknowledges some of these factors, making “solely” materially misleading.</x:v>
      </x:c>
      <x:c r="H171" s="2" t="str">
        <x:v>MH-B04-01</x:v>
      </x:c>
      <x:c r="I171" s="2" t="s">
        <x:v>189</x:v>
      </x:c>
    </x:row>
    <x:row r="172" ht="37.95000076293945" customHeight="1">
      <x:c r="A172" s="2">
        <x:v>4</x:v>
      </x:c>
      <x:c r="B172" s="2" t="s">
        <x:v>15</x:v>
      </x:c>
      <x:c r="C172" s="2" t="s">
        <x:v>88</x:v>
      </x:c>
      <x:c r="D172" s="2" t="s">
        <x:v>79</x:v>
      </x:c>
      <x:c r="E172" s="2" t="s">
        <x:v>89</x:v>
      </x:c>
      <x:c r="F172" s="2" t="str">
        <x:v>PASS</x:v>
      </x:c>
      <x:c r="G172" s="2" t="str">
        <x:v>Practical domain understanding shown by Sheet size chart L285–293; printer/material advice L308–337; mail merge workflow.; see unique issues for limited inaccuracies.</x:v>
      </x:c>
      <x:c r="H172" s="2"/>
      <x:c r="I172" s="2" t="s">
        <x:v>26</x:v>
      </x:c>
    </x:row>
    <x:row r="173" ht="37.95000076293945" customHeight="1">
      <x:c r="A173" s="2">
        <x:v>4</x:v>
      </x:c>
      <x:c r="B173" s="2" t="s">
        <x:v>15</x:v>
      </x:c>
      <x:c r="C173" s="2" t="s">
        <x:v>90</x:v>
      </x:c>
      <x:c r="D173" s="2" t="s">
        <x:v>79</x:v>
      </x:c>
      <x:c r="E173" s="2" t="s">
        <x:v>91</x:v>
      </x:c>
      <x:c r="F173" s="2" t="str">
        <x:v>PASS</x:v>
      </x:c>
      <x:c r="G173" s="2" t="str">
        <x:v>US B2B context: Useful for shipping and e-commerce operational choices..</x:v>
      </x:c>
      <x:c r="H173" s="2"/>
      <x:c r="I173" s="2" t="s">
        <x:v>26</x:v>
      </x:c>
    </x:row>
    <x:row r="174" ht="37.95000076293945" customHeight="1">
      <x:c r="A174" s="2">
        <x:v>4</x:v>
      </x:c>
      <x:c r="B174" s="2" t="s">
        <x:v>15</x:v>
      </x:c>
      <x:c r="C174" s="2" t="s">
        <x:v>92</x:v>
      </x:c>
      <x:c r="D174" s="2" t="s">
        <x:v>93</x:v>
      </x:c>
      <x:c r="E174" s="2" t="s">
        <x:v>94</x:v>
      </x:c>
      <x:c r="F174" s="2" t="str">
        <x:v>PASS</x:v>
      </x:c>
      <x:c r="G174" s="2" t="str">
        <x:v>Core relevant entities and subtopics include Five label types, size chart, substrates, carrier workflows and printing methods..</x:v>
      </x:c>
      <x:c r="H174" s="2"/>
      <x:c r="I174" s="2" t="s">
        <x:v>26</x:v>
      </x:c>
    </x:row>
    <x:row r="175" ht="37.95000076293945" customHeight="1">
      <x:c r="A175" s="2">
        <x:v>4</x:v>
      </x:c>
      <x:c r="B175" s="2" t="s">
        <x:v>15</x:v>
      </x:c>
      <x:c r="C175" s="2" t="s">
        <x:v>95</x:v>
      </x:c>
      <x:c r="D175" s="2" t="s">
        <x:v>93</x:v>
      </x:c>
      <x:c r="E175" s="2" t="s">
        <x:v>96</x:v>
      </x:c>
      <x:c r="F175" s="2" t="str">
        <x:v>PASS</x:v>
      </x:c>
      <x:c r="G175" s="2" t="str">
        <x:v>Explains relevant choices or relationships using Sheet size chart L285–293; printer/material advice L308–337; mail merge workflow..</x:v>
      </x:c>
      <x:c r="H175" s="2"/>
      <x:c r="I175" s="2" t="s">
        <x:v>26</x:v>
      </x:c>
    </x:row>
    <x:row r="176" ht="37.95000076293945" customHeight="1">
      <x:c r="A176" s="2">
        <x:v>4</x:v>
      </x:c>
      <x:c r="B176" s="2" t="s">
        <x:v>15</x:v>
      </x:c>
      <x:c r="C176" s="2" t="s">
        <x:v>97</x:v>
      </x:c>
      <x:c r="D176" s="2" t="s">
        <x:v>93</x:v>
      </x:c>
      <x:c r="E176" s="2" t="s">
        <x:v>98</x:v>
      </x:c>
      <x:c r="F176" s="2" t="str">
        <x:v>PASS</x:v>
      </x:c>
      <x:c r="G176" s="2" t="str">
        <x:v>Headings group Five label types, size chart, substrates, carrier workflows and printing methods. in an understandable progression.</x:v>
      </x:c>
      <x:c r="H176" s="2"/>
      <x:c r="I176" s="2" t="s">
        <x:v>26</x:v>
      </x:c>
    </x:row>
    <x:row r="177" ht="37.95000076293945" customHeight="1">
      <x:c r="A177" s="2">
        <x:v>4</x:v>
      </x:c>
      <x:c r="B177" s="2" t="s">
        <x:v>15</x:v>
      </x:c>
      <x:c r="C177" s="2" t="s">
        <x:v>99</x:v>
      </x:c>
      <x:c r="D177" s="2" t="s">
        <x:v>93</x:v>
      </x:c>
      <x:c r="E177" s="2" t="s">
        <x:v>100</x:v>
      </x:c>
      <x:c r="F177" s="2" t="str">
        <x:v>PASS</x:v>
      </x:c>
      <x:c r="G177" s="2" t="str">
        <x:v>The body answers its core decision questions through Sheet size chart L285–293; printer/material advice L308–337; mail merge workflow..</x:v>
      </x:c>
      <x:c r="H177" s="2"/>
      <x:c r="I177" s="2" t="s">
        <x:v>26</x:v>
      </x:c>
    </x:row>
    <x:row r="178" ht="37.95000076293945" customHeight="1">
      <x:c r="A178" s="2">
        <x:v>4</x:v>
      </x:c>
      <x:c r="B178" s="2" t="s">
        <x:v>15</x:v>
      </x:c>
      <x:c r="C178" s="2" t="s">
        <x:v>101</x:v>
      </x:c>
      <x:c r="D178" s="2" t="s">
        <x:v>93</x:v>
      </x:c>
      <x:c r="E178" s="2" t="s">
        <x:v>102</x:v>
      </x:c>
      <x:c r="F178" s="2" t="str">
        <x:v>PASS</x:v>
      </x:c>
      <x:c r="G178" s="2" t="str">
        <x:v>The core purpose is addressed by the sections listed; minor optional additions are not a major topical gap.</x:v>
      </x:c>
      <x:c r="H178" s="2"/>
      <x:c r="I178" s="2" t="s">
        <x:v>26</x:v>
      </x:c>
    </x:row>
    <x:row r="179" ht="37.95000076293945" customHeight="1">
      <x:c r="A179" s="2">
        <x:v>4</x:v>
      </x:c>
      <x:c r="B179" s="2" t="s">
        <x:v>15</x:v>
      </x:c>
      <x:c r="C179" s="2" t="s">
        <x:v>103</x:v>
      </x:c>
      <x:c r="D179" s="2" t="s">
        <x:v>93</x:v>
      </x:c>
      <x:c r="E179" s="2" t="s">
        <x:v>104</x:v>
      </x:c>
      <x:c r="F179" s="2" t="str">
        <x:v>ACCEPTABLE</x:v>
      </x:c>
      <x:c r="G179" s="2" t="str">
        <x:v>Each main group adds at least one topic or buyer function; routine recap and sales language are acceptable.</x:v>
      </x:c>
      <x:c r="H179" s="2"/>
      <x:c r="I179" s="2" t="s">
        <x:v>26</x:v>
      </x:c>
    </x:row>
    <x:row r="180" ht="37.95000076293945" customHeight="1">
      <x:c r="A180" s="2">
        <x:v>4</x:v>
      </x:c>
      <x:c r="B180" s="2" t="s">
        <x:v>15</x:v>
      </x:c>
      <x:c r="C180" s="2" t="s">
        <x:v>105</x:v>
      </x:c>
      <x:c r="D180" s="2" t="s">
        <x:v>106</x:v>
      </x:c>
      <x:c r="E180" s="2" t="s">
        <x:v>107</x:v>
      </x:c>
      <x:c r="F180" s="2" t="str">
        <x:v>PASS</x:v>
      </x:c>
      <x:c r="G180" s="2" t="str">
        <x:v>Beyond a definition, it includes practical material: Sheet size chart L285–293; printer/material advice L308–337; mail merge workflow..</x:v>
      </x:c>
      <x:c r="H180" s="2"/>
      <x:c r="I180" s="2" t="s">
        <x:v>26</x:v>
      </x:c>
    </x:row>
    <x:row r="181" ht="37.95000076293945" customHeight="1">
      <x:c r="A181" s="2">
        <x:v>4</x:v>
      </x:c>
      <x:c r="B181" s="2" t="s">
        <x:v>15</x:v>
      </x:c>
      <x:c r="C181" s="2" t="s">
        <x:v>108</x:v>
      </x:c>
      <x:c r="D181" s="2" t="s">
        <x:v>106</x:v>
      </x:c>
      <x:c r="E181" s="2" t="s">
        <x:v>109</x:v>
      </x:c>
      <x:c r="F181" s="2" t="str">
        <x:v>PASS</x:v>
      </x:c>
      <x:c r="G181" s="2" t="str">
        <x:v>Examples/applications are present: Sheet size chart L285–293; printer/material advice L308–337; mail merge workflow..</x:v>
      </x:c>
      <x:c r="H181" s="2"/>
      <x:c r="I181" s="2" t="s">
        <x:v>26</x:v>
      </x:c>
    </x:row>
    <x:row r="182" ht="37.95000076293945" customHeight="1">
      <x:c r="A182" s="2">
        <x:v>4</x:v>
      </x:c>
      <x:c r="B182" s="2" t="s">
        <x:v>15</x:v>
      </x:c>
      <x:c r="C182" s="2" t="s">
        <x:v>110</x:v>
      </x:c>
      <x:c r="D182" s="2" t="s">
        <x:v>106</x:v>
      </x:c>
      <x:c r="E182" s="2" t="s">
        <x:v>111</x:v>
      </x:c>
      <x:c r="F182" s="2" t="str">
        <x:v>PASS</x:v>
      </x:c>
      <x:c r="G182" s="2" t="str">
        <x:v>Actionable decision content is present: Useful for shipping and e-commerce operational choices..</x:v>
      </x:c>
      <x:c r="H182" s="2"/>
      <x:c r="I182" s="2" t="s">
        <x:v>26</x:v>
      </x:c>
    </x:row>
    <x:row r="183" ht="37.95000076293945" customHeight="1">
      <x:c r="A183" s="2">
        <x:v>4</x:v>
      </x:c>
      <x:c r="B183" s="2" t="s">
        <x:v>15</x:v>
      </x:c>
      <x:c r="C183" s="2" t="s">
        <x:v>112</x:v>
      </x:c>
      <x:c r="D183" s="2" t="s">
        <x:v>106</x:v>
      </x:c>
      <x:c r="E183" s="2" t="s">
        <x:v>113</x:v>
      </x:c>
      <x:c r="F183" s="2" t="str">
        <x:v>PASS</x:v>
      </x:c>
      <x:c r="G183" s="2" t="str">
        <x:v>Comparisons and choice guidance include: Sheet size chart L285–293; printer/material advice L308–337; mail merge workflow..</x:v>
      </x:c>
      <x:c r="H183" s="2"/>
      <x:c r="I183" s="2" t="s">
        <x:v>26</x:v>
      </x:c>
    </x:row>
    <x:row r="184" ht="37.95000076293945" customHeight="1">
      <x:c r="A184" s="2">
        <x:v>4</x:v>
      </x:c>
      <x:c r="B184" s="2" t="s">
        <x:v>15</x:v>
      </x:c>
      <x:c r="C184" s="2" t="s">
        <x:v>114</x:v>
      </x:c>
      <x:c r="D184" s="2" t="s">
        <x:v>106</x:v>
      </x:c>
      <x:c r="E184" s="2" t="s">
        <x:v>115</x:v>
      </x:c>
      <x:c r="F184" s="2" t="str">
        <x:v>PASS</x:v>
      </x:c>
      <x:c r="G184" s="2" t="str">
        <x:v>Buyer usefulness is supported by Useful for shipping and e-commerce operational choices.; narrower actionable deficiencies are issue-linked.</x:v>
      </x:c>
      <x:c r="H184" s="2"/>
      <x:c r="I184" s="2" t="s">
        <x:v>26</x:v>
      </x:c>
    </x:row>
    <x:row r="185" ht="37.95000076293945" customHeight="1">
      <x:c r="A185" s="2">
        <x:v>4</x:v>
      </x:c>
      <x:c r="B185" s="2" t="s">
        <x:v>15</x:v>
      </x:c>
      <x:c r="C185" s="2" t="s">
        <x:v>117</x:v>
      </x:c>
      <x:c r="D185" s="2" t="s">
        <x:v>106</x:v>
      </x:c>
      <x:c r="E185" s="2" t="s">
        <x:v>118</x:v>
      </x:c>
      <x:c r="F185" s="2" t="str">
        <x:v>NOT VERIFIED</x:v>
      </x:c>
      <x:c r="G185" s="2" t="str">
        <x:v>Originality/plagiarism cannot be proved from a published article alone; external comparison not performed.</x:v>
      </x:c>
      <x:c r="H185" s="2"/>
      <x:c r="I185" s="2" t="s">
        <x:v>26</x:v>
      </x:c>
    </x:row>
    <x:row r="186" ht="37.95000076293945" customHeight="1">
      <x:c r="A186" s="2">
        <x:v>4</x:v>
      </x:c>
      <x:c r="B186" s="2" t="s">
        <x:v>15</x:v>
      </x:c>
      <x:c r="C186" s="2" t="s">
        <x:v>119</x:v>
      </x:c>
      <x:c r="D186" s="2" t="s">
        <x:v>120</x:v>
      </x:c>
      <x:c r="E186" s="2" t="s">
        <x:v>121</x:v>
      </x:c>
      <x:c r="F186" s="2" t="str">
        <x:v>ACCEPTABLE</x:v>
      </x:c>
      <x:c r="G186" s="2" t="str">
        <x:v>The introduction is relevant: States what address labels do and promises types, sizes, materials and printing methods.. Background is acceptable when it frames the topic.</x:v>
      </x:c>
      <x:c r="H186" s="2"/>
      <x:c r="I186" s="2" t="s">
        <x:v>26</x:v>
      </x:c>
    </x:row>
    <x:row r="187" ht="37.95000076293945" customHeight="1">
      <x:c r="A187" s="2">
        <x:v>4</x:v>
      </x:c>
      <x:c r="B187" s="2" t="s">
        <x:v>15</x:v>
      </x:c>
      <x:c r="C187" s="2" t="s">
        <x:v>122</x:v>
      </x:c>
      <x:c r="D187" s="2" t="s">
        <x:v>120</x:v>
      </x:c>
      <x:c r="E187" s="2" t="s">
        <x:v>123</x:v>
      </x:c>
      <x:c r="F187" s="2" t="str">
        <x:v>PASS</x:v>
      </x:c>
      <x:c r="G187" s="2" t="str">
        <x:v>Headings describe the article’s real sections: Five label types, size chart, substrates, carrier workflows and printing methods..</x:v>
      </x:c>
      <x:c r="H187" s="2"/>
      <x:c r="I187" s="2" t="s">
        <x:v>26</x:v>
      </x:c>
    </x:row>
    <x:row r="188" ht="37.95000076293945" customHeight="1">
      <x:c r="A188" s="2">
        <x:v>4</x:v>
      </x:c>
      <x:c r="B188" s="2" t="s">
        <x:v>15</x:v>
      </x:c>
      <x:c r="C188" s="2" t="s">
        <x:v>124</x:v>
      </x:c>
      <x:c r="D188" s="2" t="s">
        <x:v>120</x:v>
      </x:c>
      <x:c r="E188" s="2" t="s">
        <x:v>125</x:v>
      </x:c>
      <x:c r="F188" s="2" t="str">
        <x:v>PASS</x:v>
      </x:c>
      <x:c r="G188" s="2" t="str">
        <x:v>The article’s main examples and instructions are understandable: Sheet size chart L285–293; printer/material advice L308–337; mail merge workflow..</x:v>
      </x:c>
      <x:c r="H188" s="2"/>
      <x:c r="I188" s="2" t="s">
        <x:v>26</x:v>
      </x:c>
    </x:row>
    <x:row r="189" ht="37.95000076293945" customHeight="1">
      <x:c r="A189" s="2">
        <x:v>4</x:v>
      </x:c>
      <x:c r="B189" s="2" t="s">
        <x:v>15</x:v>
      </x:c>
      <x:c r="C189" s="2" t="s">
        <x:v>126</x:v>
      </x:c>
      <x:c r="D189" s="2" t="s">
        <x:v>120</x:v>
      </x:c>
      <x:c r="E189" s="2" t="s">
        <x:v>127</x:v>
      </x:c>
      <x:c r="F189" s="2" t="str">
        <x:v>PASS</x:v>
      </x:c>
      <x:c r="G189" s="2" t="str">
        <x:v>The article moves through Five label types, size chart, substrates, carrier workflows and printing methods. in a logical order. Minor repeated branding is allowed.</x:v>
      </x:c>
      <x:c r="H189" s="2"/>
      <x:c r="I189" s="2" t="s">
        <x:v>26</x:v>
      </x:c>
    </x:row>
    <x:row r="190" ht="37.95000076293945" customHeight="1">
      <x:c r="A190" s="2">
        <x:v>4</x:v>
      </x:c>
      <x:c r="B190" s="2" t="s">
        <x:v>15</x:v>
      </x:c>
      <x:c r="C190" s="2" t="s">
        <x:v>128</x:v>
      </x:c>
      <x:c r="D190" s="2" t="s">
        <x:v>120</x:v>
      </x:c>
      <x:c r="E190" s="2" t="s">
        <x:v>129</x:v>
      </x:c>
      <x:c r="F190" s="2" t="str">
        <x:v>PASS</x:v>
      </x:c>
      <x:c r="G190" s="2" t="str">
        <x:v>Comparisons, examples or steps are available: Sheet size chart L285–293; printer/material advice L308–337; mail merge workflow..</x:v>
      </x:c>
      <x:c r="H190" s="2"/>
      <x:c r="I190" s="2" t="s">
        <x:v>26</x:v>
      </x:c>
    </x:row>
    <x:row r="191" ht="37.95000076293945" customHeight="1">
      <x:c r="A191" s="2">
        <x:v>4</x:v>
      </x:c>
      <x:c r="B191" s="2" t="s">
        <x:v>15</x:v>
      </x:c>
      <x:c r="C191" s="2" t="s">
        <x:v>130</x:v>
      </x:c>
      <x:c r="D191" s="2" t="s">
        <x:v>120</x:v>
      </x:c>
      <x:c r="E191" s="2" t="s">
        <x:v>131</x:v>
      </x:c>
      <x:c r="F191" s="2" t="str">
        <x:v>PASS</x:v>
      </x:c>
      <x:c r="G191" s="2" t="str">
        <x:v>Closing guidance returns to the packaging or purchasing choice: Useful for shipping and e-commerce operational choices..</x:v>
      </x:c>
      <x:c r="H191" s="2"/>
      <x:c r="I191" s="2" t="s">
        <x:v>26</x:v>
      </x:c>
    </x:row>
    <x:row r="192" ht="37.95000076293945" customHeight="1">
      <x:c r="A192" s="2">
        <x:v>4</x:v>
      </x:c>
      <x:c r="B192" s="2" t="s">
        <x:v>15</x:v>
      </x:c>
      <x:c r="C192" s="2" t="s">
        <x:v>132</x:v>
      </x:c>
      <x:c r="D192" s="2" t="s">
        <x:v>133</x:v>
      </x:c>
      <x:c r="E192" s="2" t="s">
        <x:v>134</x:v>
      </x:c>
      <x:c r="F192" s="2" t="str">
        <x:v>PASS</x:v>
      </x:c>
      <x:c r="G192" s="2" t="str">
        <x:v>Title/H1 and main topic language naturally match Address Labels Explained: Types, Sizes, Materials.</x:v>
      </x:c>
      <x:c r="H192" s="2"/>
      <x:c r="I192" s="2" t="s">
        <x:v>26</x:v>
      </x:c>
    </x:row>
    <x:row r="193" ht="37.95000076293945" customHeight="1">
      <x:c r="A193" s="2">
        <x:v>4</x:v>
      </x:c>
      <x:c r="B193" s="2" t="s">
        <x:v>15</x:v>
      </x:c>
      <x:c r="C193" s="2" t="s">
        <x:v>135</x:v>
      </x:c>
      <x:c r="D193" s="2" t="s">
        <x:v>133</x:v>
      </x:c>
      <x:c r="E193" s="2" t="s">
        <x:v>136</x:v>
      </x:c>
      <x:c r="F193" s="2" t="str">
        <x:v>PASS</x:v>
      </x:c>
      <x:c r="G193" s="2" t="str">
        <x:v>The wording naturally includes supporting product, material, use and buyer terms.</x:v>
      </x:c>
      <x:c r="H193" s="2"/>
      <x:c r="I193" s="2" t="s">
        <x:v>26</x:v>
      </x:c>
    </x:row>
    <x:row r="194" ht="37.95000076293945" customHeight="1">
      <x:c r="A194" s="2">
        <x:v>4</x:v>
      </x:c>
      <x:c r="B194" s="2" t="s">
        <x:v>15</x:v>
      </x:c>
      <x:c r="C194" s="2" t="s">
        <x:v>137</x:v>
      </x:c>
      <x:c r="D194" s="2" t="s">
        <x:v>133</x:v>
      </x:c>
      <x:c r="E194" s="2" t="s">
        <x:v>138</x:v>
      </x:c>
      <x:c r="F194" s="2" t="str">
        <x:v>PASS</x:v>
      </x:c>
      <x:c r="G194" s="2" t="str">
        <x:v>Section headings serve navigation rather than apparent keyword repetition: Five label types, size chart, substrates, carrier workflows and printing methods..</x:v>
      </x:c>
      <x:c r="H194" s="2"/>
      <x:c r="I194" s="2" t="s">
        <x:v>26</x:v>
      </x:c>
    </x:row>
    <x:row r="195" ht="37.95000076293945" customHeight="1">
      <x:c r="A195" s="2">
        <x:v>4</x:v>
      </x:c>
      <x:c r="B195" s="2" t="s">
        <x:v>15</x:v>
      </x:c>
      <x:c r="C195" s="2" t="s">
        <x:v>139</x:v>
      </x:c>
      <x:c r="D195" s="2" t="s">
        <x:v>133</x:v>
      </x:c>
      <x:c r="E195" s="2" t="s">
        <x:v>140</x:v>
      </x:c>
      <x:c r="F195" s="2" t="str">
        <x:v>PASS</x:v>
      </x:c>
      <x:c r="G195" s="2" t="str">
        <x:v>No material pattern of unnatural exact-keyword repetition was established.</x:v>
      </x:c>
      <x:c r="H195" s="2"/>
      <x:c r="I195" s="2" t="s">
        <x:v>26</x:v>
      </x:c>
    </x:row>
    <x:row r="196" ht="37.95000076293945" customHeight="1">
      <x:c r="A196" s="2">
        <x:v>4</x:v>
      </x:c>
      <x:c r="B196" s="2" t="s">
        <x:v>15</x:v>
      </x:c>
      <x:c r="C196" s="2" t="s">
        <x:v>141</x:v>
      </x:c>
      <x:c r="D196" s="2" t="s">
        <x:v>133</x:v>
      </x:c>
      <x:c r="E196" s="2" t="s">
        <x:v>142</x:v>
      </x:c>
      <x:c r="F196" s="2" t="str">
        <x:v>PASS</x:v>
      </x:c>
      <x:c r="G196" s="2" t="str">
        <x:v>The guide remains centered on the single intended question: Address Labels Explained: Types, Sizes, Materials.</x:v>
      </x:c>
      <x:c r="H196" s="2"/>
      <x:c r="I196" s="2" t="s">
        <x:v>26</x:v>
      </x:c>
    </x:row>
    <x:row r="197" ht="37.95000076293945" customHeight="1">
      <x:c r="A197" s="2">
        <x:v>4</x:v>
      </x:c>
      <x:c r="B197" s="2" t="s">
        <x:v>15</x:v>
      </x:c>
      <x:c r="C197" s="2" t="s">
        <x:v>143</x:v>
      </x:c>
      <x:c r="D197" s="2" t="s">
        <x:v>144</x:v>
      </x:c>
      <x:c r="E197" s="2" t="s">
        <x:v>145</x:v>
      </x:c>
      <x:c r="F197" s="2" t="str">
        <x:v>PASS</x:v>
      </x:c>
      <x:c r="G197" s="2" t="str">
        <x:v>The business reader is apparent from: Useful for shipping and e-commerce operational choices..</x:v>
      </x:c>
      <x:c r="H197" s="2"/>
      <x:c r="I197" s="2" t="s">
        <x:v>26</x:v>
      </x:c>
    </x:row>
    <x:row r="198" ht="37.95000076293945" customHeight="1">
      <x:c r="A198" s="2">
        <x:v>4</x:v>
      </x:c>
      <x:c r="B198" s="2" t="s">
        <x:v>15</x:v>
      </x:c>
      <x:c r="C198" s="2" t="s">
        <x:v>146</x:v>
      </x:c>
      <x:c r="D198" s="2" t="s">
        <x:v>144</x:v>
      </x:c>
      <x:c r="E198" s="2" t="s">
        <x:v>147</x:v>
      </x:c>
      <x:c r="F198" s="2" t="str">
        <x:v>PASS</x:v>
      </x:c>
      <x:c r="G198" s="2" t="str">
        <x:v>Practical procurement and buyer needs covered: Useful for shipping and e-commerce operational choices..</x:v>
      </x:c>
      <x:c r="H198" s="2"/>
      <x:c r="I198" s="2" t="s">
        <x:v>26</x:v>
      </x:c>
    </x:row>
    <x:row r="199" ht="37.95000076293945" customHeight="1">
      <x:c r="A199" s="2">
        <x:v>4</x:v>
      </x:c>
      <x:c r="B199" s="2" t="s">
        <x:v>15</x:v>
      </x:c>
      <x:c r="C199" s="2" t="s">
        <x:v>148</x:v>
      </x:c>
      <x:c r="D199" s="2" t="s">
        <x:v>144</x:v>
      </x:c>
      <x:c r="E199" s="2" t="s">
        <x:v>149</x:v>
      </x:c>
      <x:c r="F199" s="2" t="str">
        <x:v>ACCEPTABLE</x:v>
      </x:c>
      <x:c r="G199" s="2" t="str">
        <x:v>Former optional finding excluded under the approved balanced standard; it is not a scored deficiency.</x:v>
      </x:c>
      <x:c r="H199" s="2"/>
      <x:c r="I199" s="2" t="s">
        <x:v>190</x:v>
      </x:c>
    </x:row>
    <x:row r="200" ht="37.95000076293945" customHeight="1">
      <x:c r="A200" s="2">
        <x:v>4</x:v>
      </x:c>
      <x:c r="B200" s="2" t="s">
        <x:v>15</x:v>
      </x:c>
      <x:c r="C200" s="2" t="s">
        <x:v>150</x:v>
      </x:c>
      <x:c r="D200" s="2" t="s">
        <x:v>144</x:v>
      </x:c>
      <x:c r="E200" s="2" t="s">
        <x:v>151</x:v>
      </x:c>
      <x:c r="F200" s="2" t="str">
        <x:v>FAIL</x:v>
      </x:c>
      <x:c r="G200" s="2" t="str">
        <x:v>MH-B04-01: Label-material selection wrongly said to depend solely on printer — Media selection also depends on exposure, surface energy, adhesive, handling, durability and intended service life. The article itself later acknowledges some of these factors, making “solely” materially misleading.</x:v>
      </x:c>
      <x:c r="H200" s="2" t="str">
        <x:v>MH-B04-01</x:v>
      </x:c>
      <x:c r="I200" s="2" t="s">
        <x:v>189</x:v>
      </x:c>
    </x:row>
    <x:row r="201" ht="37.95000076293945" customHeight="1">
      <x:c r="A201" s="2">
        <x:v>4</x:v>
      </x:c>
      <x:c r="B201" s="2" t="s">
        <x:v>15</x:v>
      </x:c>
      <x:c r="C201" s="2" t="s">
        <x:v>152</x:v>
      </x:c>
      <x:c r="D201" s="2" t="s">
        <x:v>144</x:v>
      </x:c>
      <x:c r="E201" s="2" t="s">
        <x:v>153</x:v>
      </x:c>
      <x:c r="F201" s="2" t="str">
        <x:v>PASS</x:v>
      </x:c>
      <x:c r="G201" s="2" t="str">
        <x:v>Linked/referenced products are part of its named packaging or printing topic.</x:v>
      </x:c>
      <x:c r="H201" s="2"/>
      <x:c r="I201" s="2" t="s">
        <x:v>26</x:v>
      </x:c>
    </x:row>
    <x:row r="202" ht="37.95000076293945" customHeight="1">
      <x:c r="A202" s="2">
        <x:v>4</x:v>
      </x:c>
      <x:c r="B202" s="2" t="s">
        <x:v>15</x:v>
      </x:c>
      <x:c r="C202" s="2" t="s">
        <x:v>154</x:v>
      </x:c>
      <x:c r="D202" s="2" t="s">
        <x:v>144</x:v>
      </x:c>
      <x:c r="E202" s="2" t="s">
        <x:v>155</x:v>
      </x:c>
      <x:c r="F202" s="2" t="str">
        <x:v>PASS</x:v>
      </x:c>
      <x:c r="G202" s="2" t="str">
        <x:v>Relevant business supplier CTA appears at conclusion; ordinary service promotion is acceptable.</x:v>
      </x:c>
      <x:c r="H202" s="2"/>
      <x:c r="I202" s="2" t="s">
        <x:v>26</x:v>
      </x:c>
    </x:row>
    <x:row r="203" ht="37.95000076293945" customHeight="1">
      <x:c r="A203" s="2">
        <x:v>4</x:v>
      </x:c>
      <x:c r="B203" s="2" t="s">
        <x:v>15</x:v>
      </x:c>
      <x:c r="C203" s="2" t="s">
        <x:v>156</x:v>
      </x:c>
      <x:c r="D203" s="2" t="s">
        <x:v>157</x:v>
      </x:c>
      <x:c r="E203" s="2" t="s">
        <x:v>158</x:v>
      </x:c>
      <x:c r="F203" s="2" t="str">
        <x:v>PASS</x:v>
      </x:c>
      <x:c r="G203" s="2" t="str">
        <x:v>Published article includes contextual product, category or informational internal links; exhaustive audit not conducted.</x:v>
      </x:c>
      <x:c r="H203" s="2"/>
      <x:c r="I203" s="2" t="s">
        <x:v>26</x:v>
      </x:c>
    </x:row>
    <x:row r="204" ht="37.95000076293945" customHeight="1">
      <x:c r="A204" s="2">
        <x:v>4</x:v>
      </x:c>
      <x:c r="B204" s="2" t="s">
        <x:v>15</x:v>
      </x:c>
      <x:c r="C204" s="2" t="s">
        <x:v>159</x:v>
      </x:c>
      <x:c r="D204" s="2" t="s">
        <x:v>157</x:v>
      </x:c>
      <x:c r="E204" s="2" t="s">
        <x:v>160</x:v>
      </x:c>
      <x:c r="F204" s="2" t="str">
        <x:v>PASS</x:v>
      </x:c>
      <x:c r="G204" s="2" t="str">
        <x:v>Sample source-anchor wording is descriptive in the published article; exhaustive links untested.</x:v>
      </x:c>
      <x:c r="H204" s="2"/>
      <x:c r="I204" s="2" t="s">
        <x:v>26</x:v>
      </x:c>
    </x:row>
    <x:row r="205" ht="37.95000076293945" customHeight="1">
      <x:c r="A205" s="2">
        <x:v>4</x:v>
      </x:c>
      <x:c r="B205" s="2" t="s">
        <x:v>15</x:v>
      </x:c>
      <x:c r="C205" s="2" t="s">
        <x:v>161</x:v>
      </x:c>
      <x:c r="D205" s="2" t="s">
        <x:v>157</x:v>
      </x:c>
      <x:c r="E205" s="2" t="s">
        <x:v>162</x:v>
      </x:c>
      <x:c r="F205" s="2" t="str">
        <x:v>PASS</x:v>
      </x:c>
      <x:c r="G205" s="2" t="str">
        <x:v>Observed internal references are contextually related to the article topic.</x:v>
      </x:c>
      <x:c r="H205" s="2"/>
      <x:c r="I205" s="2" t="s">
        <x:v>26</x:v>
      </x:c>
    </x:row>
    <x:row r="206" ht="37.95000076293945" customHeight="1">
      <x:c r="A206" s="2">
        <x:v>4</x:v>
      </x:c>
      <x:c r="B206" s="2" t="s">
        <x:v>15</x:v>
      </x:c>
      <x:c r="C206" s="2" t="s">
        <x:v>163</x:v>
      </x:c>
      <x:c r="D206" s="2" t="s">
        <x:v>157</x:v>
      </x:c>
      <x:c r="E206" s="2" t="s">
        <x:v>164</x:v>
      </x:c>
      <x:c r="F206" s="2" t="str">
        <x:v>NOT VERIFIED</x:v>
      </x:c>
      <x:c r="G206" s="2" t="str">
        <x:v>A systematic live HTTP/redirect check of every linked destination was not performed.</x:v>
      </x:c>
      <x:c r="H206" s="2"/>
      <x:c r="I206" s="2" t="s">
        <x:v>26</x:v>
      </x:c>
    </x:row>
    <x:row r="207" ht="37.95000076293945" customHeight="1">
      <x:c r="A207" s="2">
        <x:v>4</x:v>
      </x:c>
      <x:c r="B207" s="2" t="s">
        <x:v>15</x:v>
      </x:c>
      <x:c r="C207" s="2" t="s">
        <x:v>165</x:v>
      </x:c>
      <x:c r="D207" s="2" t="s">
        <x:v>157</x:v>
      </x:c>
      <x:c r="E207" s="2" t="s">
        <x:v>166</x:v>
      </x:c>
      <x:c r="F207" s="2" t="str">
        <x:v>NOT VERIFIED</x:v>
      </x:c>
      <x:c r="G207" s="2" t="str">
        <x:v>A complete site inventory and internal-link opportunity analysis was not performed.</x:v>
      </x:c>
      <x:c r="H207" s="2"/>
      <x:c r="I207" s="2" t="s">
        <x:v>26</x:v>
      </x:c>
    </x:row>
    <x:row r="208" ht="37.95000076293945" customHeight="1">
      <x:c r="A208" s="2">
        <x:v>4</x:v>
      </x:c>
      <x:c r="B208" s="2" t="s">
        <x:v>15</x:v>
      </x:c>
      <x:c r="C208" s="2" t="s">
        <x:v>167</x:v>
      </x:c>
      <x:c r="D208" s="2" t="s">
        <x:v>168</x:v>
      </x:c>
      <x:c r="E208" s="2" t="s">
        <x:v>169</x:v>
      </x:c>
      <x:c r="F208" s="2" t="str">
        <x:v>ACCEPTABLE</x:v>
      </x:c>
      <x:c r="G208" s="2" t="str">
        <x:v>Minor isolated language errors are tolerated when meaning is intact; no substantial grammar breakdown observed.</x:v>
      </x:c>
      <x:c r="H208" s="2"/>
      <x:c r="I208" s="2" t="s">
        <x:v>26</x:v>
      </x:c>
    </x:row>
    <x:row r="209" ht="37.95000076293945" customHeight="1">
      <x:c r="A209" s="2">
        <x:v>4</x:v>
      </x:c>
      <x:c r="B209" s="2" t="s">
        <x:v>15</x:v>
      </x:c>
      <x:c r="C209" s="2" t="s">
        <x:v>170</x:v>
      </x:c>
      <x:c r="D209" s="2" t="s">
        <x:v>168</x:v>
      </x:c>
      <x:c r="E209" s="2" t="s">
        <x:v>171</x:v>
      </x:c>
      <x:c r="F209" s="2" t="str">
        <x:v>PASS</x:v>
      </x:c>
      <x:c r="G209" s="2" t="str">
        <x:v>Uses US buyer context, inches where relevant, and no consequential British/American mix established.</x:v>
      </x:c>
      <x:c r="H209" s="2"/>
      <x:c r="I209" s="2" t="s">
        <x:v>26</x:v>
      </x:c>
    </x:row>
    <x:row r="210" ht="37.95000076293945" customHeight="1">
      <x:c r="A210" s="2">
        <x:v>4</x:v>
      </x:c>
      <x:c r="B210" s="2" t="s">
        <x:v>15</x:v>
      </x:c>
      <x:c r="C210" s="2" t="s">
        <x:v>172</x:v>
      </x:c>
      <x:c r="D210" s="2" t="s">
        <x:v>168</x:v>
      </x:c>
      <x:c r="E210" s="2" t="s">
        <x:v>173</x:v>
      </x:c>
      <x:c r="F210" s="2" t="str">
        <x:v>ACCEPTABLE</x:v>
      </x:c>
      <x:c r="G210" s="2" t="str">
        <x:v>Professional intent and readable examples are clear. Routine conversational language is acceptable.</x:v>
      </x:c>
      <x:c r="H210" s="2"/>
      <x:c r="I210" s="2" t="s">
        <x:v>26</x:v>
      </x:c>
    </x:row>
    <x:row r="211" ht="37.95000076293945" customHeight="1">
      <x:c r="A211" s="2">
        <x:v>4</x:v>
      </x:c>
      <x:c r="B211" s="2" t="s">
        <x:v>15</x:v>
      </x:c>
      <x:c r="C211" s="2" t="s">
        <x:v>174</x:v>
      </x:c>
      <x:c r="D211" s="2" t="s">
        <x:v>168</x:v>
      </x:c>
      <x:c r="E211" s="2" t="s">
        <x:v>175</x:v>
      </x:c>
      <x:c r="F211" s="2" t="str">
        <x:v>ACCEPTABLE</x:v>
      </x:c>
      <x:c r="G211" s="2" t="str">
        <x:v>Editorial voice is commercially appropriate; minor stylistic variation is not a failure.</x:v>
      </x:c>
      <x:c r="H211" s="2"/>
      <x:c r="I211" s="2" t="s">
        <x:v>26</x:v>
      </x:c>
    </x:row>
    <x:row r="212" ht="37.95000076293945" customHeight="1">
      <x:c r="A212" s="2">
        <x:v>4</x:v>
      </x:c>
      <x:c r="B212" s="2" t="s">
        <x:v>15</x:v>
      </x:c>
      <x:c r="C212" s="2" t="s">
        <x:v>176</x:v>
      </x:c>
      <x:c r="D212" s="2" t="s">
        <x:v>168</x:v>
      </x:c>
      <x:c r="E212" s="2" t="s">
        <x:v>177</x:v>
      </x:c>
      <x:c r="F212" s="2" t="str">
        <x:v>ACCEPTABLE</x:v>
      </x:c>
      <x:c r="G212" s="2" t="str">
        <x:v>Small redundancies are acceptable; only materially distracting repetition would be scored.</x:v>
      </x:c>
      <x:c r="H212" s="2"/>
      <x:c r="I212" s="2" t="s">
        <x:v>26</x:v>
      </x:c>
    </x:row>
    <x:row r="213" ht="37.95000076293945" customHeight="1">
      <x:c r="A213" s="2">
        <x:v>4</x:v>
      </x:c>
      <x:c r="B213" s="2" t="s">
        <x:v>15</x:v>
      </x:c>
      <x:c r="C213" s="2" t="s">
        <x:v>178</x:v>
      </x:c>
      <x:c r="D213" s="2" t="s">
        <x:v>168</x:v>
      </x:c>
      <x:c r="E213" s="2" t="s">
        <x:v>179</x:v>
      </x:c>
      <x:c r="F213" s="2" t="str">
        <x:v>ACCEPTABLE</x:v>
      </x:c>
      <x:c r="G213" s="2" t="str">
        <x:v>Routine advertising puffery is permitted; objective measurable errors are noted as distinct issues.</x:v>
      </x:c>
      <x:c r="H213" s="2"/>
      <x:c r="I213" s="2" t="s">
        <x:v>26</x:v>
      </x:c>
    </x:row>
    <x:row r="214" ht="37.95000076293945" customHeight="1">
      <x:c r="A214" s="2">
        <x:v>5</x:v>
      </x:c>
      <x:c r="B214" s="2" t="s">
        <x:v>16</x:v>
      </x:c>
      <x:c r="C214" s="2" t="s">
        <x:v>65</x:v>
      </x:c>
      <x:c r="D214" s="2" t="s">
        <x:v>66</x:v>
      </x:c>
      <x:c r="E214" s="2" t="s">
        <x:v>67</x:v>
      </x:c>
      <x:c r="F214" s="2" t="str">
        <x:v>PASS</x:v>
      </x:c>
      <x:c r="G214" s="2" t="str">
        <x:v>The published H1 and body directly address: Choosing Apparel Gift Boxes for Your Brand.</x:v>
      </x:c>
      <x:c r="H214" s="2"/>
      <x:c r="I214" s="2" t="s">
        <x:v>27</x:v>
      </x:c>
    </x:row>
    <x:row r="215" ht="37.95000076293945" customHeight="1">
      <x:c r="A215" s="2">
        <x:v>5</x:v>
      </x:c>
      <x:c r="B215" s="2" t="s">
        <x:v>16</x:v>
      </x:c>
      <x:c r="C215" s="2" t="s">
        <x:v>68</x:v>
      </x:c>
      <x:c r="D215" s="2" t="s">
        <x:v>66</x:v>
      </x:c>
      <x:c r="E215" s="2" t="s">
        <x:v>69</x:v>
      </x:c>
      <x:c r="F215" s="2" t="str">
        <x:v>PASS</x:v>
      </x:c>
      <x:c r="G215" s="2" t="str">
        <x:v>The published title matches the topics delivered: Packaging styles, material/finish table, stock/custom/wholesale selection, seasonality..</x:v>
      </x:c>
      <x:c r="H215" s="2"/>
      <x:c r="I215" s="2" t="s">
        <x:v>27</x:v>
      </x:c>
    </x:row>
    <x:row r="216" ht="37.95000076293945" customHeight="1">
      <x:c r="A216" s="2">
        <x:v>5</x:v>
      </x:c>
      <x:c r="B216" s="2" t="s">
        <x:v>16</x:v>
      </x:c>
      <x:c r="C216" s="2" t="s">
        <x:v>70</x:v>
      </x:c>
      <x:c r="D216" s="2" t="s">
        <x:v>66</x:v>
      </x:c>
      <x:c r="E216" s="2" t="s">
        <x:v>71</x:v>
      </x:c>
      <x:c r="F216" s="2" t="str">
        <x:v>ACCEPTABLE</x:v>
      </x:c>
      <x:c r="G216" s="2" t="str">
        <x:v>The introduction is relevant: Explains garment presentation plus protection and gives a quick how-to summary.. Direct-answer placement is not mandatory.</x:v>
      </x:c>
      <x:c r="H216" s="2"/>
      <x:c r="I216" s="2" t="s">
        <x:v>27</x:v>
      </x:c>
    </x:row>
    <x:row r="217" ht="37.95000076293945" customHeight="1">
      <x:c r="A217" s="2">
        <x:v>5</x:v>
      </x:c>
      <x:c r="B217" s="2" t="s">
        <x:v>16</x:v>
      </x:c>
      <x:c r="C217" s="2" t="s">
        <x:v>72</x:v>
      </x:c>
      <x:c r="D217" s="2" t="s">
        <x:v>66</x:v>
      </x:c>
      <x:c r="E217" s="2" t="s">
        <x:v>73</x:v>
      </x:c>
      <x:c r="F217" s="2" t="str">
        <x:v>PASS</x:v>
      </x:c>
      <x:c r="G217" s="2" t="str">
        <x:v>The article provides an answer through: Packaging styles, material/finish table, stock/custom/wholesale selection, seasonality..</x:v>
      </x:c>
      <x:c r="H217" s="2"/>
      <x:c r="I217" s="2" t="s">
        <x:v>27</x:v>
      </x:c>
    </x:row>
    <x:row r="218" ht="37.95000076293945" customHeight="1">
      <x:c r="A218" s="2">
        <x:v>5</x:v>
      </x:c>
      <x:c r="B218" s="2" t="s">
        <x:v>16</x:v>
      </x:c>
      <x:c r="C218" s="2" t="s">
        <x:v>74</x:v>
      </x:c>
      <x:c r="D218" s="2" t="s">
        <x:v>66</x:v>
      </x:c>
      <x:c r="E218" s="2" t="s">
        <x:v>75</x:v>
      </x:c>
      <x:c r="F218" s="2" t="str">
        <x:v>PASS</x:v>
      </x:c>
      <x:c r="G218" s="2" t="str">
        <x:v>Subsections remain relevant to: Packaging styles, material/finish table, stock/custom/wholesale selection, seasonality.; ordinary marketing context is acceptable.</x:v>
      </x:c>
      <x:c r="H218" s="2"/>
      <x:c r="I218" s="2" t="s">
        <x:v>27</x:v>
      </x:c>
    </x:row>
    <x:row r="219" ht="37.95000076293945" customHeight="1">
      <x:c r="A219" s="2">
        <x:v>5</x:v>
      </x:c>
      <x:c r="B219" s="2" t="s">
        <x:v>16</x:v>
      </x:c>
      <x:c r="C219" s="2" t="s">
        <x:v>76</x:v>
      </x:c>
      <x:c r="D219" s="2" t="s">
        <x:v>66</x:v>
      </x:c>
      <x:c r="E219" s="2" t="s">
        <x:v>77</x:v>
      </x:c>
      <x:c r="F219" s="2" t="str">
        <x:v>PASS</x:v>
      </x:c>
      <x:c r="G219" s="2" t="str">
        <x:v>Informational/commercial intent addressed by: Strong clothing-business buyer focus with practical decisions..</x:v>
      </x:c>
      <x:c r="H219" s="2"/>
      <x:c r="I219" s="2" t="s">
        <x:v>27</x:v>
      </x:c>
    </x:row>
    <x:row r="220" ht="37.95000076293945" customHeight="1">
      <x:c r="A220" s="2">
        <x:v>5</x:v>
      </x:c>
      <x:c r="B220" s="2" t="s">
        <x:v>16</x:v>
      </x:c>
      <x:c r="C220" s="2" t="s">
        <x:v>78</x:v>
      </x:c>
      <x:c r="D220" s="2" t="s">
        <x:v>79</x:v>
      </x:c>
      <x:c r="E220" s="2" t="s">
        <x:v>80</x:v>
      </x:c>
      <x:c r="F220" s="2" t="str">
        <x:v>FAIL</x:v>
      </x:c>
      <x:c r="G220" s="2" t="str">
        <x:v>MH-B05-01: Wholesale presented as a separate box class versus stock/custom — Stock versus custom describes product configuration; wholesale describes order quantity or purchasing terms. Treating all three as mutually exclusive purchasing options can mislead readers.</x:v>
      </x:c>
      <x:c r="H220" s="2" t="str">
        <x:v>MH-B05-01</x:v>
      </x:c>
      <x:c r="I220" s="2" t="s">
        <x:v>191</x:v>
      </x:c>
    </x:row>
    <x:row r="221" ht="37.95000076293945" customHeight="1">
      <x:c r="A221" s="2">
        <x:v>5</x:v>
      </x:c>
      <x:c r="B221" s="2" t="s">
        <x:v>16</x:v>
      </x:c>
      <x:c r="C221" s="2" t="s">
        <x:v>82</x:v>
      </x:c>
      <x:c r="D221" s="2" t="s">
        <x:v>79</x:v>
      </x:c>
      <x:c r="E221" s="2" t="s">
        <x:v>83</x:v>
      </x:c>
      <x:c r="F221" s="2" t="str">
        <x:v>PASS</x:v>
      </x:c>
      <x:c r="G221" s="2" t="str">
        <x:v>The principal practical comparisons are present in Five-step selection process; folded-garment measurement/clearance L264–313.; source-specific exceptions are separately linked.</x:v>
      </x:c>
      <x:c r="H221" s="2"/>
      <x:c r="I221" s="2" t="s">
        <x:v>27</x:v>
      </x:c>
    </x:row>
    <x:row r="222" ht="37.95000076293945" customHeight="1">
      <x:c r="A222" s="2">
        <x:v>5</x:v>
      </x:c>
      <x:c r="B222" s="2" t="s">
        <x:v>16</x:v>
      </x:c>
      <x:c r="C222" s="2" t="s">
        <x:v>84</x:v>
      </x:c>
      <x:c r="D222" s="2" t="s">
        <x:v>79</x:v>
      </x:c>
      <x:c r="E222" s="2" t="s">
        <x:v>85</x:v>
      </x:c>
      <x:c r="F222" s="2" t="str">
        <x:v>PASS</x:v>
      </x:c>
      <x:c r="G222" s="2" t="str">
        <x:v>Measurable statements evaluated separately from routine promotional language; review cited unique issues and source limits.</x:v>
      </x:c>
      <x:c r="H222" s="2"/>
      <x:c r="I222" s="2" t="s">
        <x:v>27</x:v>
      </x:c>
    </x:row>
    <x:row r="223" ht="37.95000076293945" customHeight="1">
      <x:c r="A223" s="2">
        <x:v>5</x:v>
      </x:c>
      <x:c r="B223" s="2" t="s">
        <x:v>16</x:v>
      </x:c>
      <x:c r="C223" s="2" t="s">
        <x:v>86</x:v>
      </x:c>
      <x:c r="D223" s="2" t="s">
        <x:v>79</x:v>
      </x:c>
      <x:c r="E223" s="2" t="s">
        <x:v>87</x:v>
      </x:c>
      <x:c r="F223" s="2" t="str">
        <x:v>FAIL</x:v>
      </x:c>
      <x:c r="G223" s="2" t="str">
        <x:v>MH-B05-01: Wholesale presented as a separate box class versus stock/custom — Stock versus custom describes product configuration; wholesale describes order quantity or purchasing terms. Treating all three as mutually exclusive purchasing options can mislead readers. / MH-B05-02: Rigid packaging described as mandatory for delicate fabrics — Delicate apparel can be protected with suitable folding cartons, tissue, inserts or outer shippers in some use cases. A rigid presentation box is a choice, not universal necessity.</x:v>
      </x:c>
      <x:c r="H223" s="2" t="str">
        <x:v>MH-B05-01, MH-B05-02</x:v>
      </x:c>
      <x:c r="I223" s="2" t="s">
        <x:v>192</x:v>
      </x:c>
    </x:row>
    <x:row r="224" ht="37.95000076293945" customHeight="1">
      <x:c r="A224" s="2">
        <x:v>5</x:v>
      </x:c>
      <x:c r="B224" s="2" t="s">
        <x:v>16</x:v>
      </x:c>
      <x:c r="C224" s="2" t="s">
        <x:v>88</x:v>
      </x:c>
      <x:c r="D224" s="2" t="s">
        <x:v>79</x:v>
      </x:c>
      <x:c r="E224" s="2" t="s">
        <x:v>89</x:v>
      </x:c>
      <x:c r="F224" s="2" t="str">
        <x:v>PASS</x:v>
      </x:c>
      <x:c r="G224" s="2" t="str">
        <x:v>Practical domain understanding shown by Five-step selection process; folded-garment measurement/clearance L264–313.; see unique issues for limited inaccuracies.</x:v>
      </x:c>
      <x:c r="H224" s="2"/>
      <x:c r="I224" s="2" t="s">
        <x:v>27</x:v>
      </x:c>
    </x:row>
    <x:row r="225" ht="37.95000076293945" customHeight="1">
      <x:c r="A225" s="2">
        <x:v>5</x:v>
      </x:c>
      <x:c r="B225" s="2" t="s">
        <x:v>16</x:v>
      </x:c>
      <x:c r="C225" s="2" t="s">
        <x:v>90</x:v>
      </x:c>
      <x:c r="D225" s="2" t="s">
        <x:v>79</x:v>
      </x:c>
      <x:c r="E225" s="2" t="s">
        <x:v>91</x:v>
      </x:c>
      <x:c r="F225" s="2" t="str">
        <x:v>PASS</x:v>
      </x:c>
      <x:c r="G225" s="2" t="str">
        <x:v>US B2B context: Strong clothing-business buyer focus with practical decisions..</x:v>
      </x:c>
      <x:c r="H225" s="2"/>
      <x:c r="I225" s="2" t="s">
        <x:v>27</x:v>
      </x:c>
    </x:row>
    <x:row r="226" ht="37.95000076293945" customHeight="1">
      <x:c r="A226" s="2">
        <x:v>5</x:v>
      </x:c>
      <x:c r="B226" s="2" t="s">
        <x:v>16</x:v>
      </x:c>
      <x:c r="C226" s="2" t="s">
        <x:v>92</x:v>
      </x:c>
      <x:c r="D226" s="2" t="s">
        <x:v>93</x:v>
      </x:c>
      <x:c r="E226" s="2" t="s">
        <x:v>94</x:v>
      </x:c>
      <x:c r="F226" s="2" t="str">
        <x:v>PASS</x:v>
      </x:c>
      <x:c r="G226" s="2" t="str">
        <x:v>Core relevant entities and subtopics include Packaging styles, material/finish table, stock/custom/wholesale selection, seasonality..</x:v>
      </x:c>
      <x:c r="H226" s="2"/>
      <x:c r="I226" s="2" t="s">
        <x:v>27</x:v>
      </x:c>
    </x:row>
    <x:row r="227" ht="37.95000076293945" customHeight="1">
      <x:c r="A227" s="2">
        <x:v>5</x:v>
      </x:c>
      <x:c r="B227" s="2" t="s">
        <x:v>16</x:v>
      </x:c>
      <x:c r="C227" s="2" t="s">
        <x:v>95</x:v>
      </x:c>
      <x:c r="D227" s="2" t="s">
        <x:v>93</x:v>
      </x:c>
      <x:c r="E227" s="2" t="s">
        <x:v>96</x:v>
      </x:c>
      <x:c r="F227" s="2" t="str">
        <x:v>PASS</x:v>
      </x:c>
      <x:c r="G227" s="2" t="str">
        <x:v>Explains relevant choices or relationships using Five-step selection process; folded-garment measurement/clearance L264–313..</x:v>
      </x:c>
      <x:c r="H227" s="2"/>
      <x:c r="I227" s="2" t="s">
        <x:v>27</x:v>
      </x:c>
    </x:row>
    <x:row r="228" ht="37.95000076293945" customHeight="1">
      <x:c r="A228" s="2">
        <x:v>5</x:v>
      </x:c>
      <x:c r="B228" s="2" t="s">
        <x:v>16</x:v>
      </x:c>
      <x:c r="C228" s="2" t="s">
        <x:v>97</x:v>
      </x:c>
      <x:c r="D228" s="2" t="s">
        <x:v>93</x:v>
      </x:c>
      <x:c r="E228" s="2" t="s">
        <x:v>98</x:v>
      </x:c>
      <x:c r="F228" s="2" t="str">
        <x:v>PASS</x:v>
      </x:c>
      <x:c r="G228" s="2" t="str">
        <x:v>Headings group Packaging styles, material/finish table, stock/custom/wholesale selection, seasonality. in an understandable progression.</x:v>
      </x:c>
      <x:c r="H228" s="2"/>
      <x:c r="I228" s="2" t="s">
        <x:v>27</x:v>
      </x:c>
    </x:row>
    <x:row r="229" ht="37.95000076293945" customHeight="1">
      <x:c r="A229" s="2">
        <x:v>5</x:v>
      </x:c>
      <x:c r="B229" s="2" t="s">
        <x:v>16</x:v>
      </x:c>
      <x:c r="C229" s="2" t="s">
        <x:v>99</x:v>
      </x:c>
      <x:c r="D229" s="2" t="s">
        <x:v>93</x:v>
      </x:c>
      <x:c r="E229" s="2" t="s">
        <x:v>100</x:v>
      </x:c>
      <x:c r="F229" s="2" t="str">
        <x:v>PASS</x:v>
      </x:c>
      <x:c r="G229" s="2" t="str">
        <x:v>The body answers its core decision questions through Five-step selection process; folded-garment measurement/clearance L264–313..</x:v>
      </x:c>
      <x:c r="H229" s="2"/>
      <x:c r="I229" s="2" t="s">
        <x:v>27</x:v>
      </x:c>
    </x:row>
    <x:row r="230" ht="37.95000076293945" customHeight="1">
      <x:c r="A230" s="2">
        <x:v>5</x:v>
      </x:c>
      <x:c r="B230" s="2" t="s">
        <x:v>16</x:v>
      </x:c>
      <x:c r="C230" s="2" t="s">
        <x:v>101</x:v>
      </x:c>
      <x:c r="D230" s="2" t="s">
        <x:v>93</x:v>
      </x:c>
      <x:c r="E230" s="2" t="s">
        <x:v>102</x:v>
      </x:c>
      <x:c r="F230" s="2" t="str">
        <x:v>PASS</x:v>
      </x:c>
      <x:c r="G230" s="2" t="str">
        <x:v>The core purpose is addressed by the sections listed; minor optional additions are not a major topical gap.</x:v>
      </x:c>
      <x:c r="H230" s="2"/>
      <x:c r="I230" s="2" t="s">
        <x:v>27</x:v>
      </x:c>
    </x:row>
    <x:row r="231" ht="37.95000076293945" customHeight="1">
      <x:c r="A231" s="2">
        <x:v>5</x:v>
      </x:c>
      <x:c r="B231" s="2" t="s">
        <x:v>16</x:v>
      </x:c>
      <x:c r="C231" s="2" t="s">
        <x:v>103</x:v>
      </x:c>
      <x:c r="D231" s="2" t="s">
        <x:v>93</x:v>
      </x:c>
      <x:c r="E231" s="2" t="s">
        <x:v>104</x:v>
      </x:c>
      <x:c r="F231" s="2" t="str">
        <x:v>ACCEPTABLE</x:v>
      </x:c>
      <x:c r="G231" s="2" t="str">
        <x:v>Each main group adds at least one topic or buyer function; routine recap and sales language are acceptable.</x:v>
      </x:c>
      <x:c r="H231" s="2"/>
      <x:c r="I231" s="2" t="s">
        <x:v>27</x:v>
      </x:c>
    </x:row>
    <x:row r="232" ht="37.95000076293945" customHeight="1">
      <x:c r="A232" s="2">
        <x:v>5</x:v>
      </x:c>
      <x:c r="B232" s="2" t="s">
        <x:v>16</x:v>
      </x:c>
      <x:c r="C232" s="2" t="s">
        <x:v>105</x:v>
      </x:c>
      <x:c r="D232" s="2" t="s">
        <x:v>106</x:v>
      </x:c>
      <x:c r="E232" s="2" t="s">
        <x:v>107</x:v>
      </x:c>
      <x:c r="F232" s="2" t="str">
        <x:v>PASS</x:v>
      </x:c>
      <x:c r="G232" s="2" t="str">
        <x:v>Beyond a definition, it includes practical material: Five-step selection process; folded-garment measurement/clearance L264–313..</x:v>
      </x:c>
      <x:c r="H232" s="2"/>
      <x:c r="I232" s="2" t="s">
        <x:v>27</x:v>
      </x:c>
    </x:row>
    <x:row r="233" ht="37.95000076293945" customHeight="1">
      <x:c r="A233" s="2">
        <x:v>5</x:v>
      </x:c>
      <x:c r="B233" s="2" t="s">
        <x:v>16</x:v>
      </x:c>
      <x:c r="C233" s="2" t="s">
        <x:v>108</x:v>
      </x:c>
      <x:c r="D233" s="2" t="s">
        <x:v>106</x:v>
      </x:c>
      <x:c r="E233" s="2" t="s">
        <x:v>109</x:v>
      </x:c>
      <x:c r="F233" s="2" t="str">
        <x:v>PASS</x:v>
      </x:c>
      <x:c r="G233" s="2" t="str">
        <x:v>Examples/applications are present: Five-step selection process; folded-garment measurement/clearance L264–313..</x:v>
      </x:c>
      <x:c r="H233" s="2"/>
      <x:c r="I233" s="2" t="s">
        <x:v>27</x:v>
      </x:c>
    </x:row>
    <x:row r="234" ht="37.95000076293945" customHeight="1">
      <x:c r="A234" s="2">
        <x:v>5</x:v>
      </x:c>
      <x:c r="B234" s="2" t="s">
        <x:v>16</x:v>
      </x:c>
      <x:c r="C234" s="2" t="s">
        <x:v>110</x:v>
      </x:c>
      <x:c r="D234" s="2" t="s">
        <x:v>106</x:v>
      </x:c>
      <x:c r="E234" s="2" t="s">
        <x:v>111</x:v>
      </x:c>
      <x:c r="F234" s="2" t="str">
        <x:v>PASS</x:v>
      </x:c>
      <x:c r="G234" s="2" t="str">
        <x:v>Actionable decision content is present: Strong clothing-business buyer focus with practical decisions..</x:v>
      </x:c>
      <x:c r="H234" s="2"/>
      <x:c r="I234" s="2" t="s">
        <x:v>27</x:v>
      </x:c>
    </x:row>
    <x:row r="235" ht="37.95000076293945" customHeight="1">
      <x:c r="A235" s="2">
        <x:v>5</x:v>
      </x:c>
      <x:c r="B235" s="2" t="s">
        <x:v>16</x:v>
      </x:c>
      <x:c r="C235" s="2" t="s">
        <x:v>112</x:v>
      </x:c>
      <x:c r="D235" s="2" t="s">
        <x:v>106</x:v>
      </x:c>
      <x:c r="E235" s="2" t="s">
        <x:v>113</x:v>
      </x:c>
      <x:c r="F235" s="2" t="str">
        <x:v>FAIL</x:v>
      </x:c>
      <x:c r="G235" s="2" t="str">
        <x:v>MH-B05-01: Wholesale presented as a separate box class versus stock/custom — Stock versus custom describes product configuration; wholesale describes order quantity or purchasing terms. Treating all three as mutually exclusive purchasing options can mislead readers.</x:v>
      </x:c>
      <x:c r="H235" s="2" t="str">
        <x:v>MH-B05-01</x:v>
      </x:c>
      <x:c r="I235" s="2" t="s">
        <x:v>191</x:v>
      </x:c>
    </x:row>
    <x:row r="236" ht="37.95000076293945" customHeight="1">
      <x:c r="A236" s="2">
        <x:v>5</x:v>
      </x:c>
      <x:c r="B236" s="2" t="s">
        <x:v>16</x:v>
      </x:c>
      <x:c r="C236" s="2" t="s">
        <x:v>114</x:v>
      </x:c>
      <x:c r="D236" s="2" t="s">
        <x:v>106</x:v>
      </x:c>
      <x:c r="E236" s="2" t="s">
        <x:v>115</x:v>
      </x:c>
      <x:c r="F236" s="2" t="str">
        <x:v>PASS</x:v>
      </x:c>
      <x:c r="G236" s="2" t="str">
        <x:v>Buyer usefulness is supported by Strong clothing-business buyer focus with practical decisions.; narrower actionable deficiencies are issue-linked.</x:v>
      </x:c>
      <x:c r="H236" s="2"/>
      <x:c r="I236" s="2" t="s">
        <x:v>27</x:v>
      </x:c>
    </x:row>
    <x:row r="237" ht="37.95000076293945" customHeight="1">
      <x:c r="A237" s="2">
        <x:v>5</x:v>
      </x:c>
      <x:c r="B237" s="2" t="s">
        <x:v>16</x:v>
      </x:c>
      <x:c r="C237" s="2" t="s">
        <x:v>117</x:v>
      </x:c>
      <x:c r="D237" s="2" t="s">
        <x:v>106</x:v>
      </x:c>
      <x:c r="E237" s="2" t="s">
        <x:v>118</x:v>
      </x:c>
      <x:c r="F237" s="2" t="str">
        <x:v>NOT VERIFIED</x:v>
      </x:c>
      <x:c r="G237" s="2" t="str">
        <x:v>Originality/plagiarism cannot be proved from a published article alone; external comparison not performed.</x:v>
      </x:c>
      <x:c r="H237" s="2"/>
      <x:c r="I237" s="2" t="s">
        <x:v>27</x:v>
      </x:c>
    </x:row>
    <x:row r="238" ht="37.95000076293945" customHeight="1">
      <x:c r="A238" s="2">
        <x:v>5</x:v>
      </x:c>
      <x:c r="B238" s="2" t="s">
        <x:v>16</x:v>
      </x:c>
      <x:c r="C238" s="2" t="s">
        <x:v>119</x:v>
      </x:c>
      <x:c r="D238" s="2" t="s">
        <x:v>120</x:v>
      </x:c>
      <x:c r="E238" s="2" t="s">
        <x:v>121</x:v>
      </x:c>
      <x:c r="F238" s="2" t="str">
        <x:v>ACCEPTABLE</x:v>
      </x:c>
      <x:c r="G238" s="2" t="str">
        <x:v>The introduction is relevant: Explains garment presentation plus protection and gives a quick how-to summary.. Background is acceptable when it frames the topic.</x:v>
      </x:c>
      <x:c r="H238" s="2"/>
      <x:c r="I238" s="2" t="s">
        <x:v>27</x:v>
      </x:c>
    </x:row>
    <x:row r="239" ht="37.95000076293945" customHeight="1">
      <x:c r="A239" s="2">
        <x:v>5</x:v>
      </x:c>
      <x:c r="B239" s="2" t="s">
        <x:v>16</x:v>
      </x:c>
      <x:c r="C239" s="2" t="s">
        <x:v>122</x:v>
      </x:c>
      <x:c r="D239" s="2" t="s">
        <x:v>120</x:v>
      </x:c>
      <x:c r="E239" s="2" t="s">
        <x:v>123</x:v>
      </x:c>
      <x:c r="F239" s="2" t="str">
        <x:v>PASS</x:v>
      </x:c>
      <x:c r="G239" s="2" t="str">
        <x:v>Headings describe the article’s real sections: Packaging styles, material/finish table, stock/custom/wholesale selection, seasonality..</x:v>
      </x:c>
      <x:c r="H239" s="2"/>
      <x:c r="I239" s="2" t="s">
        <x:v>27</x:v>
      </x:c>
    </x:row>
    <x:row r="240" ht="37.95000076293945" customHeight="1">
      <x:c r="A240" s="2">
        <x:v>5</x:v>
      </x:c>
      <x:c r="B240" s="2" t="s">
        <x:v>16</x:v>
      </x:c>
      <x:c r="C240" s="2" t="s">
        <x:v>124</x:v>
      </x:c>
      <x:c r="D240" s="2" t="s">
        <x:v>120</x:v>
      </x:c>
      <x:c r="E240" s="2" t="s">
        <x:v>125</x:v>
      </x:c>
      <x:c r="F240" s="2" t="str">
        <x:v>PASS</x:v>
      </x:c>
      <x:c r="G240" s="2" t="str">
        <x:v>The article’s main examples and instructions are understandable: Five-step selection process; folded-garment measurement/clearance L264–313..</x:v>
      </x:c>
      <x:c r="H240" s="2"/>
      <x:c r="I240" s="2" t="s">
        <x:v>27</x:v>
      </x:c>
    </x:row>
    <x:row r="241" ht="37.95000076293945" customHeight="1">
      <x:c r="A241" s="2">
        <x:v>5</x:v>
      </x:c>
      <x:c r="B241" s="2" t="s">
        <x:v>16</x:v>
      </x:c>
      <x:c r="C241" s="2" t="s">
        <x:v>126</x:v>
      </x:c>
      <x:c r="D241" s="2" t="s">
        <x:v>120</x:v>
      </x:c>
      <x:c r="E241" s="2" t="s">
        <x:v>127</x:v>
      </x:c>
      <x:c r="F241" s="2" t="str">
        <x:v>PASS</x:v>
      </x:c>
      <x:c r="G241" s="2" t="str">
        <x:v>The article moves through Packaging styles, material/finish table, stock/custom/wholesale selection, seasonality. in a logical order. Minor repeated branding is allowed.</x:v>
      </x:c>
      <x:c r="H241" s="2"/>
      <x:c r="I241" s="2" t="s">
        <x:v>27</x:v>
      </x:c>
    </x:row>
    <x:row r="242" ht="37.95000076293945" customHeight="1">
      <x:c r="A242" s="2">
        <x:v>5</x:v>
      </x:c>
      <x:c r="B242" s="2" t="s">
        <x:v>16</x:v>
      </x:c>
      <x:c r="C242" s="2" t="s">
        <x:v>128</x:v>
      </x:c>
      <x:c r="D242" s="2" t="s">
        <x:v>120</x:v>
      </x:c>
      <x:c r="E242" s="2" t="s">
        <x:v>129</x:v>
      </x:c>
      <x:c r="F242" s="2" t="str">
        <x:v>PASS</x:v>
      </x:c>
      <x:c r="G242" s="2" t="str">
        <x:v>Comparisons, examples or steps are available: Five-step selection process; folded-garment measurement/clearance L264–313..</x:v>
      </x:c>
      <x:c r="H242" s="2"/>
      <x:c r="I242" s="2" t="s">
        <x:v>27</x:v>
      </x:c>
    </x:row>
    <x:row r="243" ht="37.95000076293945" customHeight="1">
      <x:c r="A243" s="2">
        <x:v>5</x:v>
      </x:c>
      <x:c r="B243" s="2" t="s">
        <x:v>16</x:v>
      </x:c>
      <x:c r="C243" s="2" t="s">
        <x:v>130</x:v>
      </x:c>
      <x:c r="D243" s="2" t="s">
        <x:v>120</x:v>
      </x:c>
      <x:c r="E243" s="2" t="s">
        <x:v>131</x:v>
      </x:c>
      <x:c r="F243" s="2" t="str">
        <x:v>PASS</x:v>
      </x:c>
      <x:c r="G243" s="2" t="str">
        <x:v>Closing guidance returns to the packaging or purchasing choice: Strong clothing-business buyer focus with practical decisions..</x:v>
      </x:c>
      <x:c r="H243" s="2"/>
      <x:c r="I243" s="2" t="s">
        <x:v>27</x:v>
      </x:c>
    </x:row>
    <x:row r="244" ht="37.95000076293945" customHeight="1">
      <x:c r="A244" s="2">
        <x:v>5</x:v>
      </x:c>
      <x:c r="B244" s="2" t="s">
        <x:v>16</x:v>
      </x:c>
      <x:c r="C244" s="2" t="s">
        <x:v>132</x:v>
      </x:c>
      <x:c r="D244" s="2" t="s">
        <x:v>133</x:v>
      </x:c>
      <x:c r="E244" s="2" t="s">
        <x:v>134</x:v>
      </x:c>
      <x:c r="F244" s="2" t="str">
        <x:v>PASS</x:v>
      </x:c>
      <x:c r="G244" s="2" t="str">
        <x:v>Title/H1 and main topic language naturally match Choosing Apparel Gift Boxes for Your Brand.</x:v>
      </x:c>
      <x:c r="H244" s="2"/>
      <x:c r="I244" s="2" t="s">
        <x:v>27</x:v>
      </x:c>
    </x:row>
    <x:row r="245" ht="37.95000076293945" customHeight="1">
      <x:c r="A245" s="2">
        <x:v>5</x:v>
      </x:c>
      <x:c r="B245" s="2" t="s">
        <x:v>16</x:v>
      </x:c>
      <x:c r="C245" s="2" t="s">
        <x:v>135</x:v>
      </x:c>
      <x:c r="D245" s="2" t="s">
        <x:v>133</x:v>
      </x:c>
      <x:c r="E245" s="2" t="s">
        <x:v>136</x:v>
      </x:c>
      <x:c r="F245" s="2" t="str">
        <x:v>PASS</x:v>
      </x:c>
      <x:c r="G245" s="2" t="str">
        <x:v>The wording naturally includes supporting product, material, use and buyer terms.</x:v>
      </x:c>
      <x:c r="H245" s="2"/>
      <x:c r="I245" s="2" t="s">
        <x:v>27</x:v>
      </x:c>
    </x:row>
    <x:row r="246" ht="37.95000076293945" customHeight="1">
      <x:c r="A246" s="2">
        <x:v>5</x:v>
      </x:c>
      <x:c r="B246" s="2" t="s">
        <x:v>16</x:v>
      </x:c>
      <x:c r="C246" s="2" t="s">
        <x:v>137</x:v>
      </x:c>
      <x:c r="D246" s="2" t="s">
        <x:v>133</x:v>
      </x:c>
      <x:c r="E246" s="2" t="s">
        <x:v>138</x:v>
      </x:c>
      <x:c r="F246" s="2" t="str">
        <x:v>PASS</x:v>
      </x:c>
      <x:c r="G246" s="2" t="str">
        <x:v>Section headings serve navigation rather than apparent keyword repetition: Packaging styles, material/finish table, stock/custom/wholesale selection, seasonality..</x:v>
      </x:c>
      <x:c r="H246" s="2"/>
      <x:c r="I246" s="2" t="s">
        <x:v>27</x:v>
      </x:c>
    </x:row>
    <x:row r="247" ht="37.95000076293945" customHeight="1">
      <x:c r="A247" s="2">
        <x:v>5</x:v>
      </x:c>
      <x:c r="B247" s="2" t="s">
        <x:v>16</x:v>
      </x:c>
      <x:c r="C247" s="2" t="s">
        <x:v>139</x:v>
      </x:c>
      <x:c r="D247" s="2" t="s">
        <x:v>133</x:v>
      </x:c>
      <x:c r="E247" s="2" t="s">
        <x:v>140</x:v>
      </x:c>
      <x:c r="F247" s="2" t="str">
        <x:v>PASS</x:v>
      </x:c>
      <x:c r="G247" s="2" t="str">
        <x:v>No material pattern of unnatural exact-keyword repetition was established.</x:v>
      </x:c>
      <x:c r="H247" s="2"/>
      <x:c r="I247" s="2" t="s">
        <x:v>27</x:v>
      </x:c>
    </x:row>
    <x:row r="248" ht="37.95000076293945" customHeight="1">
      <x:c r="A248" s="2">
        <x:v>5</x:v>
      </x:c>
      <x:c r="B248" s="2" t="s">
        <x:v>16</x:v>
      </x:c>
      <x:c r="C248" s="2" t="s">
        <x:v>141</x:v>
      </x:c>
      <x:c r="D248" s="2" t="s">
        <x:v>133</x:v>
      </x:c>
      <x:c r="E248" s="2" t="s">
        <x:v>142</x:v>
      </x:c>
      <x:c r="F248" s="2" t="str">
        <x:v>PASS</x:v>
      </x:c>
      <x:c r="G248" s="2" t="str">
        <x:v>The guide remains centered on the single intended question: Choosing Apparel Gift Boxes for Your Brand.</x:v>
      </x:c>
      <x:c r="H248" s="2"/>
      <x:c r="I248" s="2" t="s">
        <x:v>27</x:v>
      </x:c>
    </x:row>
    <x:row r="249" ht="37.95000076293945" customHeight="1">
      <x:c r="A249" s="2">
        <x:v>5</x:v>
      </x:c>
      <x:c r="B249" s="2" t="s">
        <x:v>16</x:v>
      </x:c>
      <x:c r="C249" s="2" t="s">
        <x:v>143</x:v>
      </x:c>
      <x:c r="D249" s="2" t="s">
        <x:v>144</x:v>
      </x:c>
      <x:c r="E249" s="2" t="s">
        <x:v>145</x:v>
      </x:c>
      <x:c r="F249" s="2" t="str">
        <x:v>PASS</x:v>
      </x:c>
      <x:c r="G249" s="2" t="str">
        <x:v>The business reader is apparent from: Strong clothing-business buyer focus with practical decisions..</x:v>
      </x:c>
      <x:c r="H249" s="2"/>
      <x:c r="I249" s="2" t="s">
        <x:v>27</x:v>
      </x:c>
    </x:row>
    <x:row r="250" ht="37.95000076293945" customHeight="1">
      <x:c r="A250" s="2">
        <x:v>5</x:v>
      </x:c>
      <x:c r="B250" s="2" t="s">
        <x:v>16</x:v>
      </x:c>
      <x:c r="C250" s="2" t="s">
        <x:v>146</x:v>
      </x:c>
      <x:c r="D250" s="2" t="s">
        <x:v>144</x:v>
      </x:c>
      <x:c r="E250" s="2" t="s">
        <x:v>147</x:v>
      </x:c>
      <x:c r="F250" s="2" t="str">
        <x:v>PASS</x:v>
      </x:c>
      <x:c r="G250" s="2" t="str">
        <x:v>Practical procurement and buyer needs covered: Strong clothing-business buyer focus with practical decisions..</x:v>
      </x:c>
      <x:c r="H250" s="2"/>
      <x:c r="I250" s="2" t="s">
        <x:v>27</x:v>
      </x:c>
    </x:row>
    <x:row r="251" ht="37.95000076293945" customHeight="1">
      <x:c r="A251" s="2">
        <x:v>5</x:v>
      </x:c>
      <x:c r="B251" s="2" t="s">
        <x:v>16</x:v>
      </x:c>
      <x:c r="C251" s="2" t="s">
        <x:v>148</x:v>
      </x:c>
      <x:c r="D251" s="2" t="s">
        <x:v>144</x:v>
      </x:c>
      <x:c r="E251" s="2" t="s">
        <x:v>149</x:v>
      </x:c>
      <x:c r="F251" s="2" t="str">
        <x:v>NEEDS IMPROVEMENT</x:v>
      </x:c>
      <x:c r="G251" s="2" t="str">
        <x:v>MH-B05-02: Rigid packaging described as mandatory for delicate fabrics — Delicate apparel can be protected with suitable folding cartons, tissue, inserts or outer shippers in some use cases. A rigid presentation box is a choice, not universal necessity.</x:v>
      </x:c>
      <x:c r="H251" s="2" t="str">
        <x:v>MH-B05-02</x:v>
      </x:c>
      <x:c r="I251" s="2" t="s">
        <x:v>193</x:v>
      </x:c>
    </x:row>
    <x:row r="252" ht="37.95000076293945" customHeight="1">
      <x:c r="A252" s="2">
        <x:v>5</x:v>
      </x:c>
      <x:c r="B252" s="2" t="s">
        <x:v>16</x:v>
      </x:c>
      <x:c r="C252" s="2" t="s">
        <x:v>150</x:v>
      </x:c>
      <x:c r="D252" s="2" t="s">
        <x:v>144</x:v>
      </x:c>
      <x:c r="E252" s="2" t="s">
        <x:v>151</x:v>
      </x:c>
      <x:c r="F252" s="2" t="str">
        <x:v>FAIL</x:v>
      </x:c>
      <x:c r="G252" s="2" t="str">
        <x:v>MH-B05-01: Wholesale presented as a separate box class versus stock/custom — Stock versus custom describes product configuration; wholesale describes order quantity or purchasing terms. Treating all three as mutually exclusive purchasing options can mislead readers.</x:v>
      </x:c>
      <x:c r="H252" s="2" t="str">
        <x:v>MH-B05-01</x:v>
      </x:c>
      <x:c r="I252" s="2" t="s">
        <x:v>191</x:v>
      </x:c>
    </x:row>
    <x:row r="253" ht="37.95000076293945" customHeight="1">
      <x:c r="A253" s="2">
        <x:v>5</x:v>
      </x:c>
      <x:c r="B253" s="2" t="s">
        <x:v>16</x:v>
      </x:c>
      <x:c r="C253" s="2" t="s">
        <x:v>152</x:v>
      </x:c>
      <x:c r="D253" s="2" t="s">
        <x:v>144</x:v>
      </x:c>
      <x:c r="E253" s="2" t="s">
        <x:v>153</x:v>
      </x:c>
      <x:c r="F253" s="2" t="str">
        <x:v>PASS</x:v>
      </x:c>
      <x:c r="G253" s="2" t="str">
        <x:v>Linked/referenced products are part of its named packaging or printing topic.</x:v>
      </x:c>
      <x:c r="H253" s="2"/>
      <x:c r="I253" s="2" t="s">
        <x:v>27</x:v>
      </x:c>
    </x:row>
    <x:row r="254" ht="37.95000076293945" customHeight="1">
      <x:c r="A254" s="2">
        <x:v>5</x:v>
      </x:c>
      <x:c r="B254" s="2" t="s">
        <x:v>16</x:v>
      </x:c>
      <x:c r="C254" s="2" t="s">
        <x:v>154</x:v>
      </x:c>
      <x:c r="D254" s="2" t="s">
        <x:v>144</x:v>
      </x:c>
      <x:c r="E254" s="2" t="s">
        <x:v>155</x:v>
      </x:c>
      <x:c r="F254" s="2" t="str">
        <x:v>PASS</x:v>
      </x:c>
      <x:c r="G254" s="2" t="str">
        <x:v>Relevant business supplier CTA appears at conclusion; ordinary service promotion is acceptable.</x:v>
      </x:c>
      <x:c r="H254" s="2"/>
      <x:c r="I254" s="2" t="s">
        <x:v>27</x:v>
      </x:c>
    </x:row>
    <x:row r="255" ht="37.95000076293945" customHeight="1">
      <x:c r="A255" s="2">
        <x:v>5</x:v>
      </x:c>
      <x:c r="B255" s="2" t="s">
        <x:v>16</x:v>
      </x:c>
      <x:c r="C255" s="2" t="s">
        <x:v>156</x:v>
      </x:c>
      <x:c r="D255" s="2" t="s">
        <x:v>157</x:v>
      </x:c>
      <x:c r="E255" s="2" t="s">
        <x:v>158</x:v>
      </x:c>
      <x:c r="F255" s="2" t="str">
        <x:v>PASS</x:v>
      </x:c>
      <x:c r="G255" s="2" t="str">
        <x:v>Published article includes contextual product, category or informational internal links; exhaustive audit not conducted.</x:v>
      </x:c>
      <x:c r="H255" s="2"/>
      <x:c r="I255" s="2" t="s">
        <x:v>27</x:v>
      </x:c>
    </x:row>
    <x:row r="256" ht="37.95000076293945" customHeight="1">
      <x:c r="A256" s="2">
        <x:v>5</x:v>
      </x:c>
      <x:c r="B256" s="2" t="s">
        <x:v>16</x:v>
      </x:c>
      <x:c r="C256" s="2" t="s">
        <x:v>159</x:v>
      </x:c>
      <x:c r="D256" s="2" t="s">
        <x:v>157</x:v>
      </x:c>
      <x:c r="E256" s="2" t="s">
        <x:v>160</x:v>
      </x:c>
      <x:c r="F256" s="2" t="str">
        <x:v>PASS</x:v>
      </x:c>
      <x:c r="G256" s="2" t="str">
        <x:v>Sample source-anchor wording is descriptive in the published article; exhaustive links untested.</x:v>
      </x:c>
      <x:c r="H256" s="2"/>
      <x:c r="I256" s="2" t="s">
        <x:v>27</x:v>
      </x:c>
    </x:row>
    <x:row r="257" ht="37.95000076293945" customHeight="1">
      <x:c r="A257" s="2">
        <x:v>5</x:v>
      </x:c>
      <x:c r="B257" s="2" t="s">
        <x:v>16</x:v>
      </x:c>
      <x:c r="C257" s="2" t="s">
        <x:v>161</x:v>
      </x:c>
      <x:c r="D257" s="2" t="s">
        <x:v>157</x:v>
      </x:c>
      <x:c r="E257" s="2" t="s">
        <x:v>162</x:v>
      </x:c>
      <x:c r="F257" s="2" t="str">
        <x:v>PASS</x:v>
      </x:c>
      <x:c r="G257" s="2" t="str">
        <x:v>Observed internal references are contextually related to the article topic.</x:v>
      </x:c>
      <x:c r="H257" s="2"/>
      <x:c r="I257" s="2" t="s">
        <x:v>27</x:v>
      </x:c>
    </x:row>
    <x:row r="258" ht="37.95000076293945" customHeight="1">
      <x:c r="A258" s="2">
        <x:v>5</x:v>
      </x:c>
      <x:c r="B258" s="2" t="s">
        <x:v>16</x:v>
      </x:c>
      <x:c r="C258" s="2" t="s">
        <x:v>163</x:v>
      </x:c>
      <x:c r="D258" s="2" t="s">
        <x:v>157</x:v>
      </x:c>
      <x:c r="E258" s="2" t="s">
        <x:v>164</x:v>
      </x:c>
      <x:c r="F258" s="2" t="str">
        <x:v>NOT VERIFIED</x:v>
      </x:c>
      <x:c r="G258" s="2" t="str">
        <x:v>A systematic live HTTP/redirect check of every linked destination was not performed.</x:v>
      </x:c>
      <x:c r="H258" s="2"/>
      <x:c r="I258" s="2" t="s">
        <x:v>27</x:v>
      </x:c>
    </x:row>
    <x:row r="259" ht="37.95000076293945" customHeight="1">
      <x:c r="A259" s="2">
        <x:v>5</x:v>
      </x:c>
      <x:c r="B259" s="2" t="s">
        <x:v>16</x:v>
      </x:c>
      <x:c r="C259" s="2" t="s">
        <x:v>165</x:v>
      </x:c>
      <x:c r="D259" s="2" t="s">
        <x:v>157</x:v>
      </x:c>
      <x:c r="E259" s="2" t="s">
        <x:v>166</x:v>
      </x:c>
      <x:c r="F259" s="2" t="str">
        <x:v>NOT VERIFIED</x:v>
      </x:c>
      <x:c r="G259" s="2" t="str">
        <x:v>A complete site inventory and internal-link opportunity analysis was not performed.</x:v>
      </x:c>
      <x:c r="H259" s="2"/>
      <x:c r="I259" s="2" t="s">
        <x:v>27</x:v>
      </x:c>
    </x:row>
    <x:row r="260" ht="37.95000076293945" customHeight="1">
      <x:c r="A260" s="2">
        <x:v>5</x:v>
      </x:c>
      <x:c r="B260" s="2" t="s">
        <x:v>16</x:v>
      </x:c>
      <x:c r="C260" s="2" t="s">
        <x:v>167</x:v>
      </x:c>
      <x:c r="D260" s="2" t="s">
        <x:v>168</x:v>
      </x:c>
      <x:c r="E260" s="2" t="s">
        <x:v>169</x:v>
      </x:c>
      <x:c r="F260" s="2" t="str">
        <x:v>ACCEPTABLE</x:v>
      </x:c>
      <x:c r="G260" s="2" t="str">
        <x:v>Minor isolated language errors are tolerated when meaning is intact; no substantial grammar breakdown observed.</x:v>
      </x:c>
      <x:c r="H260" s="2"/>
      <x:c r="I260" s="2" t="s">
        <x:v>27</x:v>
      </x:c>
    </x:row>
    <x:row r="261" ht="37.95000076293945" customHeight="1">
      <x:c r="A261" s="2">
        <x:v>5</x:v>
      </x:c>
      <x:c r="B261" s="2" t="s">
        <x:v>16</x:v>
      </x:c>
      <x:c r="C261" s="2" t="s">
        <x:v>170</x:v>
      </x:c>
      <x:c r="D261" s="2" t="s">
        <x:v>168</x:v>
      </x:c>
      <x:c r="E261" s="2" t="s">
        <x:v>171</x:v>
      </x:c>
      <x:c r="F261" s="2" t="str">
        <x:v>PASS</x:v>
      </x:c>
      <x:c r="G261" s="2" t="str">
        <x:v>Uses US buyer context, inches where relevant, and no consequential British/American mix established.</x:v>
      </x:c>
      <x:c r="H261" s="2"/>
      <x:c r="I261" s="2" t="s">
        <x:v>27</x:v>
      </x:c>
    </x:row>
    <x:row r="262" ht="37.95000076293945" customHeight="1">
      <x:c r="A262" s="2">
        <x:v>5</x:v>
      </x:c>
      <x:c r="B262" s="2" t="s">
        <x:v>16</x:v>
      </x:c>
      <x:c r="C262" s="2" t="s">
        <x:v>172</x:v>
      </x:c>
      <x:c r="D262" s="2" t="s">
        <x:v>168</x:v>
      </x:c>
      <x:c r="E262" s="2" t="s">
        <x:v>173</x:v>
      </x:c>
      <x:c r="F262" s="2" t="str">
        <x:v>ACCEPTABLE</x:v>
      </x:c>
      <x:c r="G262" s="2" t="str">
        <x:v>Professional intent and readable examples are clear. Routine conversational language is acceptable.</x:v>
      </x:c>
      <x:c r="H262" s="2"/>
      <x:c r="I262" s="2" t="s">
        <x:v>27</x:v>
      </x:c>
    </x:row>
    <x:row r="263" ht="37.95000076293945" customHeight="1">
      <x:c r="A263" s="2">
        <x:v>5</x:v>
      </x:c>
      <x:c r="B263" s="2" t="s">
        <x:v>16</x:v>
      </x:c>
      <x:c r="C263" s="2" t="s">
        <x:v>174</x:v>
      </x:c>
      <x:c r="D263" s="2" t="s">
        <x:v>168</x:v>
      </x:c>
      <x:c r="E263" s="2" t="s">
        <x:v>175</x:v>
      </x:c>
      <x:c r="F263" s="2" t="str">
        <x:v>ACCEPTABLE</x:v>
      </x:c>
      <x:c r="G263" s="2" t="str">
        <x:v>Editorial voice is commercially appropriate; minor stylistic variation is not a failure.</x:v>
      </x:c>
      <x:c r="H263" s="2"/>
      <x:c r="I263" s="2" t="s">
        <x:v>27</x:v>
      </x:c>
    </x:row>
    <x:row r="264" ht="37.95000076293945" customHeight="1">
      <x:c r="A264" s="2">
        <x:v>5</x:v>
      </x:c>
      <x:c r="B264" s="2" t="s">
        <x:v>16</x:v>
      </x:c>
      <x:c r="C264" s="2" t="s">
        <x:v>176</x:v>
      </x:c>
      <x:c r="D264" s="2" t="s">
        <x:v>168</x:v>
      </x:c>
      <x:c r="E264" s="2" t="s">
        <x:v>177</x:v>
      </x:c>
      <x:c r="F264" s="2" t="str">
        <x:v>ACCEPTABLE</x:v>
      </x:c>
      <x:c r="G264" s="2" t="str">
        <x:v>Small redundancies are acceptable; only materially distracting repetition would be scored.</x:v>
      </x:c>
      <x:c r="H264" s="2"/>
      <x:c r="I264" s="2" t="s">
        <x:v>27</x:v>
      </x:c>
    </x:row>
    <x:row r="265" ht="37.95000076293945" customHeight="1">
      <x:c r="A265" s="2">
        <x:v>5</x:v>
      </x:c>
      <x:c r="B265" s="2" t="s">
        <x:v>16</x:v>
      </x:c>
      <x:c r="C265" s="2" t="s">
        <x:v>178</x:v>
      </x:c>
      <x:c r="D265" s="2" t="s">
        <x:v>168</x:v>
      </x:c>
      <x:c r="E265" s="2" t="s">
        <x:v>179</x:v>
      </x:c>
      <x:c r="F265" s="2" t="str">
        <x:v>ACCEPTABLE</x:v>
      </x:c>
      <x:c r="G265" s="2" t="str">
        <x:v>Routine advertising puffery is permitted; objective measurable errors are noted as distinct issues.</x:v>
      </x:c>
      <x:c r="H265" s="2"/>
      <x:c r="I265" s="2" t="s">
        <x:v>27</x:v>
      </x:c>
    </x:row>
  </x:sheetData>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5" customWidth="1"/>
    <x:col min="2" max="2" width="30" customWidth="1"/>
    <x:col min="3" max="3" width="109" customWidth="1"/>
    <x:col min="4" max="4" width="25" customWidth="1"/>
  </x:cols>
  <x:sheetData>
    <x:row r="1">
      <x:c r="A1" t="s">
        <x:v>194</x:v>
      </x:c>
    </x:row>
    <x:row r="3">
      <x:c r="A3" t="s">
        <x:v>195</x:v>
      </x:c>
    </x:row>
    <x:row r="5" ht="31.950000762939453" customHeight="1">
      <x:c r="A5" s="1" t="s">
        <x:v>30</x:v>
      </x:c>
      <x:c r="B5" s="1" t="s">
        <x:v>196</x:v>
      </x:c>
      <x:c r="C5" s="1" t="s">
        <x:v>197</x:v>
      </x:c>
      <x:c r="D5" s="1" t="s">
        <x:v>54</x:v>
      </x:c>
    </x:row>
    <x:row r="6" ht="60" customHeight="1">
      <x:c r="A6" s="2">
        <x:v>1</x:v>
      </x:c>
      <x:c r="B6" s="2" t="s">
        <x:v>12</x:v>
      </x:c>
      <x:c r="C6" s="2" t="s">
        <x:v>198</x:v>
      </x:c>
      <x:c r="D6" s="2" t="s">
        <x:v>23</x:v>
      </x:c>
    </x:row>
    <x:row r="7" ht="60" customHeight="1">
      <x:c r="A7" s="2">
        <x:v>1</x:v>
      </x:c>
      <x:c r="B7" s="2" t="s">
        <x:v>12</x:v>
      </x:c>
      <x:c r="C7" s="2" t="s">
        <x:v>199</x:v>
      </x:c>
      <x:c r="D7" s="2" t="s">
        <x:v>23</x:v>
      </x:c>
    </x:row>
    <x:row r="8" ht="60" customHeight="1">
      <x:c r="A8" s="2">
        <x:v>1</x:v>
      </x:c>
      <x:c r="B8" s="2" t="s">
        <x:v>12</x:v>
      </x:c>
      <x:c r="C8" s="2" t="s">
        <x:v>200</x:v>
      </x:c>
      <x:c r="D8" s="2" t="s">
        <x:v>23</x:v>
      </x:c>
    </x:row>
    <x:row r="9" ht="60" customHeight="1">
      <x:c r="A9" s="2">
        <x:v>2</x:v>
      </x:c>
      <x:c r="B9" s="2" t="s">
        <x:v>13</x:v>
      </x:c>
      <x:c r="C9" s="2" t="s">
        <x:v>201</x:v>
      </x:c>
      <x:c r="D9" s="2" t="s">
        <x:v>24</x:v>
      </x:c>
    </x:row>
    <x:row r="10" ht="60" customHeight="1">
      <x:c r="A10" s="2">
        <x:v>2</x:v>
      </x:c>
      <x:c r="B10" s="2" t="s">
        <x:v>13</x:v>
      </x:c>
      <x:c r="C10" s="2" t="s">
        <x:v>202</x:v>
      </x:c>
      <x:c r="D10" s="2" t="s">
        <x:v>24</x:v>
      </x:c>
    </x:row>
    <x:row r="11" ht="60" customHeight="1">
      <x:c r="A11" s="2">
        <x:v>2</x:v>
      </x:c>
      <x:c r="B11" s="2" t="s">
        <x:v>13</x:v>
      </x:c>
      <x:c r="C11" s="2" t="s">
        <x:v>203</x:v>
      </x:c>
      <x:c r="D11" s="2" t="s">
        <x:v>24</x:v>
      </x:c>
    </x:row>
    <x:row r="12" ht="60" customHeight="1">
      <x:c r="A12" s="2">
        <x:v>3</x:v>
      </x:c>
      <x:c r="B12" s="2" t="s">
        <x:v>14</x:v>
      </x:c>
      <x:c r="C12" s="2" t="s">
        <x:v>204</x:v>
      </x:c>
      <x:c r="D12" s="2" t="s">
        <x:v>25</x:v>
      </x:c>
    </x:row>
    <x:row r="13" ht="60" customHeight="1">
      <x:c r="A13" s="2">
        <x:v>3</x:v>
      </x:c>
      <x:c r="B13" s="2" t="s">
        <x:v>14</x:v>
      </x:c>
      <x:c r="C13" s="2" t="s">
        <x:v>205</x:v>
      </x:c>
      <x:c r="D13" s="2" t="s">
        <x:v>25</x:v>
      </x:c>
    </x:row>
    <x:row r="14" ht="60" customHeight="1">
      <x:c r="A14" s="2">
        <x:v>3</x:v>
      </x:c>
      <x:c r="B14" s="2" t="s">
        <x:v>14</x:v>
      </x:c>
      <x:c r="C14" s="2" t="s">
        <x:v>206</x:v>
      </x:c>
      <x:c r="D14" s="2" t="s">
        <x:v>25</x:v>
      </x:c>
    </x:row>
    <x:row r="15" ht="60" customHeight="1">
      <x:c r="A15" s="2">
        <x:v>4</x:v>
      </x:c>
      <x:c r="B15" s="2" t="s">
        <x:v>15</x:v>
      </x:c>
      <x:c r="C15" s="2" t="s">
        <x:v>207</x:v>
      </x:c>
      <x:c r="D15" s="2" t="s">
        <x:v>26</x:v>
      </x:c>
    </x:row>
    <x:row r="16" ht="60" customHeight="1">
      <x:c r="A16" s="2">
        <x:v>4</x:v>
      </x:c>
      <x:c r="B16" s="2" t="s">
        <x:v>15</x:v>
      </x:c>
      <x:c r="C16" s="2" t="s">
        <x:v>208</x:v>
      </x:c>
      <x:c r="D16" s="2" t="s">
        <x:v>26</x:v>
      </x:c>
    </x:row>
    <x:row r="17" ht="60" customHeight="1">
      <x:c r="A17" s="2">
        <x:v>4</x:v>
      </x:c>
      <x:c r="B17" s="2" t="s">
        <x:v>15</x:v>
      </x:c>
      <x:c r="C17" s="2" t="s">
        <x:v>209</x:v>
      </x:c>
      <x:c r="D17" s="2" t="s">
        <x:v>26</x:v>
      </x:c>
    </x:row>
    <x:row r="18" ht="60" customHeight="1">
      <x:c r="A18" s="2">
        <x:v>5</x:v>
      </x:c>
      <x:c r="B18" s="2" t="s">
        <x:v>16</x:v>
      </x:c>
      <x:c r="C18" s="2" t="s">
        <x:v>210</x:v>
      </x:c>
      <x:c r="D18" s="2" t="s">
        <x:v>27</x:v>
      </x:c>
    </x:row>
    <x:row r="19" ht="60" customHeight="1">
      <x:c r="A19" s="2">
        <x:v>5</x:v>
      </x:c>
      <x:c r="B19" s="2" t="s">
        <x:v>16</x:v>
      </x:c>
      <x:c r="C19" s="2" t="s">
        <x:v>211</x:v>
      </x:c>
      <x:c r="D19" s="2" t="s">
        <x:v>27</x:v>
      </x:c>
    </x:row>
    <x:row r="20" ht="60" customHeight="1">
      <x:c r="A20" s="2">
        <x:v>5</x:v>
      </x:c>
      <x:c r="B20" s="2" t="s">
        <x:v>16</x:v>
      </x:c>
      <x:c r="C20" s="2" t="s">
        <x:v>212</x:v>
      </x:c>
      <x:c r="D20" s="2" t="s">
        <x:v>27</x:v>
      </x:c>
    </x:row>
    <x:row r="21" ht="60" customHeight="1">
      <x:c r="A21" s="2"/>
      <x:c r="B21" s="2"/>
      <x:c r="C21" s="2"/>
      <x:c r="D21" s="2"/>
    </x:row>
  </x:sheetData>
  <x:pageMargins left="0.7" right="0.7" top="0.75" bottom="0.75" header="0.3" footer="0.3"/>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7" customWidth="1"/>
    <x:col min="2" max="2" width="45" customWidth="1"/>
    <x:col min="3" max="3" width="25" customWidth="1"/>
    <x:col min="4" max="4" width="112" customWidth="1"/>
  </x:cols>
  <x:sheetData>
    <x:row r="1">
      <x:c r="A1" t="s">
        <x:v>213</x:v>
      </x:c>
    </x:row>
    <x:row r="3">
      <x:c r="A3" t="str">
        <x:v>Three consequential training priorities; four retained FAIL findings have exact published text and replacement wording below.</x:v>
      </x:c>
    </x:row>
    <x:row r="5" ht="31.950000762939453" customHeight="1">
      <x:c r="A5" s="1" t="s">
        <x:v>49</x:v>
      </x:c>
      <x:c r="B5" s="1" t="s">
        <x:v>214</x:v>
      </x:c>
      <x:c r="C5" s="1" t="s">
        <x:v>215</x:v>
      </x:c>
      <x:c r="D5" s="1" t="s">
        <x:v>216</x:v>
      </x:c>
    </x:row>
    <x:row r="6" ht="88.05000305175781" customHeight="1">
      <x:c r="A6" s="7" t="str">
        <x:v>High</x:v>
      </x:c>
      <x:c r="B6" s="7" t="str">
        <x:v>Avoid absolute material-performance promises</x:v>
      </x:c>
      <x:c r="C6" s="7" t="str">
        <x:v>1 of 5</x:v>
      </x:c>
      <x:c r="D6" s="7" t="str">
        <x:v>Article 2: 100% foil protection implies a guarantee no finished package can make without testing. Explain the level of barrier protection and its dependence on laminate structure and seal quality. Buyer decisions about product protection must be based on specifications, not absolutes.</x:v>
      </x:c>
    </x:row>
    <x:row r="7" ht="109.94999694824219" customHeight="1">
      <x:c r="A7" s="7" t="str">
        <x:v>High</x:v>
      </x:c>
      <x:c r="B7" s="7" t="str">
        <x:v>Match labels and adhesives to the real application</x:v>
      </x:c>
      <x:c r="C7" s="7" t="str">
        <x:v>2 of 5</x:v>
      </x:c>
      <x:c r="D7" s="7" t="str">
        <x:v>Article 1: both labels and stickers may have permanent or removable adhesives. Article 4: printer type alone does not determine the label stock. Before recommending a material, check the printer, application surface, adhesive and conditions of use.</x:v>
      </x:c>
    </x:row>
    <x:row r="8" ht="115.05000305175781" customHeight="1">
      <x:c r="A8" s="7" t="str">
        <x:v>Medium</x:v>
      </x:c>
      <x:c r="B8" s="7" t="str">
        <x:v>Explain box types and protection choices simply</x:v>
      </x:c>
      <x:c r="C8" s="7" t="str">
        <x:v>1 of 5</x:v>
      </x:c>
      <x:c r="D8" s="7" t="str">
        <x:v>Article 5: stock/custom describe box options; wholesale describes buying quantity. Rigid boxes can suit delicate garments but are not mandatory. Include one sentence explaining an appropriate alternative such as folding boxes with tissue or inserts.</x:v>
      </x:c>
    </x:row>
    <x:row r="10" ht="25.049999237060547" customHeight="1">
      <x:c r="A10" s="14" t="str">
        <x:v>Exact corrections for 4 material FAIL findings</x:v>
      </x:c>
      <x:c r="B10" s="14"/>
      <x:c r="C10" s="14"/>
      <x:c r="D10" s="14"/>
    </x:row>
    <x:row r="11" ht="30" customHeight="1">
      <x:c r="A11" s="1" t="str">
        <x:v>No.</x:v>
      </x:c>
      <x:c r="B11" s="15" t="str">
        <x:v>Exact published wording / finding</x:v>
      </x:c>
      <x:c r="C11" s="15"/>
      <x:c r="D11" s="1" t="str">
        <x:v>Suggested replacement (ready for editorial use)</x:v>
      </x:c>
    </x:row>
    <x:row r="12" ht="76.94999694824219" customHeight="1">
      <x:c r="A12" s="8" t="n">
        <x:v>1</x:v>
      </x:c>
      <x:c r="B12" s="16" t="str">
        <x:v>Article 1 · Functional use and adhesive permanence incorrectly treated as fixed label/sticker properties
“Adhesives  | Strong and permanent  | Standard or easily removable”</x:v>
      </x:c>
      <x:c r="C12" s="16"/>
      <x:c r="D12" s="7" t="str">
        <x:v>In the comparison table, use the same adhesive choices for both: permanent, removable or specialty options. Explain that the right adhesive depends on the application surface and intended use—not the word “label” or “sticker.”</x:v>
      </x:c>
    </x:row>
    <x:row r="13" ht="76.94999694824219" customHeight="1">
      <x:c r="A13" s="8" t="n">
        <x:v>2</x:v>
      </x:c>
      <x:c r="B13" s="16" t="str">
        <x:v>Article 2 · Aluminum foil described as eliminating all environmental contaminants
“Aluminum sachets block out 100 percent of environmental containments.”</x:v>
      </x:c>
      <x:c r="C13" s="16"/>
      <x:c r="D13" s="7" t="str">
        <x:v>Aluminum-foil sachets can provide a high level of protection against moisture, oxygen and light when properly manufactured and sealed. Actual protection depends on the laminate structure and seal quality.</x:v>
      </x:c>
    </x:row>
    <x:row r="14" ht="76.94999694824219" customHeight="1">
      <x:c r="A14" s="8" t="n">
        <x:v>3</x:v>
      </x:c>
      <x:c r="B14" s="16" t="str">
        <x:v>Article 4 · Label-material selection wrongly said to depend solely on printer
“Material choice depends solely on which printing technology you’re using.”</x:v>
      </x:c>
      <x:c r="C14" s="16"/>
      <x:c r="D14" s="7" t="str">
        <x:v>Choose label material based on printer compatibility, the surface it will stick to and how the label will be used. Also consider adhesive strength, moisture exposure and durability.</x:v>
      </x:c>
    </x:row>
    <x:row r="15" ht="76.94999694824219" customHeight="1">
      <x:c r="A15" s="8" t="n">
        <x:v>4</x:v>
      </x:c>
      <x:c r="B15" s="16" t="str">
        <x:v>Article 5 · Wholesale presented as a separate box class versus stock/custom
“Stock Boxes: ... Custom Boxes: ... Wholesale Boxes: Buying apparel gift boxes wholesale lowers your cost per unit.”</x:v>
      </x:c>
      <x:c r="C15" s="16"/>
      <x:c r="D15" s="7" t="str">
        <x:v>Stock and custom describe the type of box; wholesale describes the quantity purchased. Either type can be ordered in bulk, so compare price per box, minimum order quantity and lead time.</x:v>
      </x:c>
    </x:row>
    <x:row r="16" ht="76.94999694824219" customHeight="1">
      <x:c r="A16" s="32" t="str">
        <x:v>IMPROVE</x:v>
      </x:c>
      <x:c r="B16" s="38" t="str">
        <x:v>Article 5 · Rigid boxes described as compulsory
“To protect delicate fabrics from crushing, rigid boxes are required.”</x:v>
      </x:c>
      <x:c r="C16" s="16"/>
      <x:c r="D16" s="38" t="str">
        <x:v>Rigid boxes are a popular option for delicate or premium garments, but sturdy folding boxes with tissue or protective inserts may also provide suitable protection.</x:v>
      </x:c>
    </x:row>
    <x:row r="17" ht="76.94999694824219" customHeight="1">
      <x:c r="A17" s="34" t="str">
        <x:v>REMINDER</x:v>
      </x:c>
      <x:c r="B17" s="36" t="str">
        <x:v>Normal B2B promotional claims are acceptable; do not promise measurable zero-defect or perfect-every-unit outcomes without supplier substantiation.</x:v>
      </x:c>
      <x:c r="C17" s="2"/>
      <x:c r="D17" s="36" t="str">
        <x:v>This is a shared editorial training safeguard, not an extra scored failure.</x:v>
      </x:c>
    </x:row>
    <x:row r="18" ht="30" customHeight="1">
      <x:c r="A18" s="36" t="str">
        <x:v>SCOPE</x:v>
      </x:c>
      <x:c r="B18" s="36" t="str">
        <x:v>Four distinct red findings and one improvement retained; removed issues are not restored or scored.</x:v>
      </x:c>
      <x:c r="C18" s="17"/>
      <x:c r="D18" s="36" t="str">
        <x:v>Review current Issues sheet for the five actionable findings.</x:v>
      </x:c>
    </x:row>
  </x:sheetData>
  <x:mergeCells>
    <x:mergeCell ref="B15:C15"/>
    <x:mergeCell ref="B16:C16"/>
    <x:mergeCell ref="A18:D18"/>
    <x:mergeCell ref="A10:D10"/>
    <x:mergeCell ref="B11:C11"/>
    <x:mergeCell ref="B12:C12"/>
    <x:mergeCell ref="B13:C13"/>
    <x:mergeCell ref="B14:C14"/>
  </x:mergeCells>
  <x:pageMargins left="0.7" right="0.7" top="0.75" bottom="0.75" header="0.3" footer="0.3"/>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45" customWidth="1"/>
    <x:col min="2" max="2" width="32" customWidth="1"/>
    <x:col min="3" max="3" width="56" customWidth="1"/>
    <x:col min="4" max="4" width="80" customWidth="1"/>
    <x:col min="5" max="5" width="74" customWidth="1"/>
  </x:cols>
  <x:sheetData>
    <x:row r="1">
      <x:c r="A1" t="s">
        <x:v>217</x:v>
      </x:c>
    </x:row>
    <x:row r="3">
      <x:c r="A3" t="s">
        <x:v>218</x:v>
      </x:c>
    </x:row>
    <x:row r="5" ht="31.950000762939453" customHeight="1">
      <x:c r="A5" s="1" t="s">
        <x:v>219</x:v>
      </x:c>
      <x:c r="B5" s="1" t="s">
        <x:v>220</x:v>
      </x:c>
      <x:c r="C5" s="1" t="s">
        <x:v>221</x:v>
      </x:c>
      <x:c r="D5" s="1" t="s">
        <x:v>222</x:v>
      </x:c>
      <x:c r="E5" s="1" t="s">
        <x:v>223</x:v>
      </x:c>
    </x:row>
    <x:row r="6" ht="60" customHeight="1">
      <x:c r="A6" s="2" t="s">
        <x:v>224</x:v>
      </x:c>
      <x:c r="B6" s="2" t="s">
        <x:v>225</x:v>
      </x:c>
      <x:c r="C6" s="2" t="s">
        <x:v>226</x:v>
      </x:c>
      <x:c r="D6" s="2" t="s">
        <x:v>227</x:v>
      </x:c>
      <x:c r="E6" s="2" t="s">
        <x:v>228</x:v>
      </x:c>
    </x:row>
    <x:row r="7" ht="60" customHeight="1">
      <x:c r="A7" s="2" t="s">
        <x:v>229</x:v>
      </x:c>
      <x:c r="B7" s="2" t="s">
        <x:v>230</x:v>
      </x:c>
      <x:c r="C7" s="2" t="s">
        <x:v>226</x:v>
      </x:c>
      <x:c r="D7" s="2" t="s">
        <x:v>231</x:v>
      </x:c>
      <x:c r="E7" s="2" t="s">
        <x:v>232</x:v>
      </x:c>
    </x:row>
    <x:row r="8" ht="60" customHeight="1">
      <x:c r="A8" s="2" t="s">
        <x:v>233</x:v>
      </x:c>
      <x:c r="B8" s="2" t="s">
        <x:v>234</x:v>
      </x:c>
      <x:c r="C8" s="2" t="s">
        <x:v>235</x:v>
      </x:c>
      <x:c r="D8" s="2" t="s">
        <x:v>236</x:v>
      </x:c>
      <x:c r="E8" s="2" t="s">
        <x:v>237</x:v>
      </x:c>
    </x:row>
    <x:row r="9" ht="60" customHeight="1">
      <x:c r="A9" s="2" t="s">
        <x:v>238</x:v>
      </x:c>
      <x:c r="B9" s="2" t="s">
        <x:v>239</x:v>
      </x:c>
      <x:c r="C9" s="2" t="s">
        <x:v>240</x:v>
      </x:c>
      <x:c r="D9" s="2" t="s">
        <x:v>241</x:v>
      </x:c>
      <x:c r="E9" s="2" t="s">
        <x:v>242</x:v>
      </x:c>
    </x:row>
    <x:row r="10" ht="60" customHeight="1">
      <x:c r="A10" s="2" t="s">
        <x:v>243</x:v>
      </x:c>
      <x:c r="B10" s="2" t="s">
        <x:v>244</x:v>
      </x:c>
      <x:c r="C10" s="2" t="s">
        <x:v>245</x:v>
      </x:c>
      <x:c r="D10" s="2" t="s">
        <x:v>246</x:v>
      </x:c>
      <x:c r="E10" s="2" t="s">
        <x:v>247</x:v>
      </x:c>
    </x:row>
    <x:row r="11" ht="60" customHeight="1">
      <x:c r="A11" s="2" t="s">
        <x:v>248</x:v>
      </x:c>
      <x:c r="B11" s="2" t="s">
        <x:v>249</x:v>
      </x:c>
      <x:c r="C11" s="2" t="s">
        <x:v>250</x:v>
      </x:c>
      <x:c r="D11" s="2" t="s">
        <x:v>251</x:v>
      </x:c>
      <x:c r="E11" s="2" t="s">
        <x:v>252</x:v>
      </x:c>
    </x:row>
    <x:row r="12" ht="60" customHeight="1">
      <x:c r="A12" s="2"/>
      <x:c r="B12" s="2"/>
      <x:c r="C12" s="2"/>
      <x:c r="D12" s="2"/>
      <x:c r="E12" s="2"/>
    </x:row>
    <x:row r="13" ht="60" customHeight="1">
      <x:c r="A13" s="2"/>
      <x:c r="B13" s="2"/>
      <x:c r="C13" s="2"/>
      <x:c r="D13" s="2"/>
      <x:c r="E13" s="2"/>
    </x:row>
    <x:row r="14" ht="60" customHeight="1">
      <x:c r="A14" s="2" t="s">
        <x:v>31</x:v>
      </x:c>
      <x:c r="B14" s="2" t="s">
        <x:v>253</x:v>
      </x:c>
      <x:c r="C14" s="2" t="s">
        <x:v>254</x:v>
      </x:c>
      <x:c r="D14" s="2" t="s">
        <x:v>255</x:v>
      </x:c>
      <x:c r="E14" s="2" t="s">
        <x:v>256</x:v>
      </x:c>
    </x:row>
    <x:row r="15" ht="60" customHeight="1">
      <x:c r="A15" s="2" t="s">
        <x:v>37</x:v>
      </x:c>
      <x:c r="B15" s="2">
        <x:v>15</x:v>
      </x:c>
      <x:c r="C15" s="2" t="s">
        <x:v>257</x:v>
      </x:c>
      <x:c r="D15" s="2" t="s">
        <x:v>258</x:v>
      </x:c>
      <x:c r="E15" s="2" t="s">
        <x:v>259</x:v>
      </x:c>
    </x:row>
    <x:row r="16" ht="60" customHeight="1">
      <x:c r="A16" s="2" t="s">
        <x:v>38</x:v>
      </x:c>
      <x:c r="B16" s="2">
        <x:v>15</x:v>
      </x:c>
      <x:c r="C16" s="2" t="s">
        <x:v>257</x:v>
      </x:c>
      <x:c r="D16" s="2" t="s">
        <x:v>258</x:v>
      </x:c>
      <x:c r="E16" s="2" t="s">
        <x:v>259</x:v>
      </x:c>
    </x:row>
    <x:row r="17" ht="60" customHeight="1">
      <x:c r="A17" s="2" t="s">
        <x:v>39</x:v>
      </x:c>
      <x:c r="B17" s="2">
        <x:v>20</x:v>
      </x:c>
      <x:c r="C17" s="2" t="s">
        <x:v>257</x:v>
      </x:c>
      <x:c r="D17" s="2" t="s">
        <x:v>258</x:v>
      </x:c>
      <x:c r="E17" s="2" t="s">
        <x:v>259</x:v>
      </x:c>
    </x:row>
    <x:row r="18" ht="60" customHeight="1">
      <x:c r="A18" s="2" t="s">
        <x:v>40</x:v>
      </x:c>
      <x:c r="B18" s="2">
        <x:v>15</x:v>
      </x:c>
      <x:c r="C18" s="2" t="s">
        <x:v>257</x:v>
      </x:c>
      <x:c r="D18" s="2" t="s">
        <x:v>258</x:v>
      </x:c>
      <x:c r="E18" s="2" t="s">
        <x:v>259</x:v>
      </x:c>
    </x:row>
    <x:row r="19" ht="60" customHeight="1">
      <x:c r="A19" s="2" t="s">
        <x:v>41</x:v>
      </x:c>
      <x:c r="B19" s="2">
        <x:v>10</x:v>
      </x:c>
      <x:c r="C19" s="2" t="s">
        <x:v>257</x:v>
      </x:c>
      <x:c r="D19" s="2" t="s">
        <x:v>258</x:v>
      </x:c>
      <x:c r="E19" s="2" t="s">
        <x:v>259</x:v>
      </x:c>
    </x:row>
    <x:row r="20" ht="60" customHeight="1">
      <x:c r="A20" s="2" t="s">
        <x:v>42</x:v>
      </x:c>
      <x:c r="B20" s="2">
        <x:v>10</x:v>
      </x:c>
      <x:c r="C20" s="2" t="s">
        <x:v>257</x:v>
      </x:c>
      <x:c r="D20" s="2" t="s">
        <x:v>258</x:v>
      </x:c>
      <x:c r="E20" s="2" t="s">
        <x:v>259</x:v>
      </x:c>
    </x:row>
    <x:row r="21" ht="60" customHeight="1">
      <x:c r="A21" s="2" t="s">
        <x:v>43</x:v>
      </x:c>
      <x:c r="B21" s="2">
        <x:v>10</x:v>
      </x:c>
      <x:c r="C21" s="2" t="s">
        <x:v>257</x:v>
      </x:c>
      <x:c r="D21" s="2" t="s">
        <x:v>258</x:v>
      </x:c>
      <x:c r="E21" s="2" t="s">
        <x:v>259</x:v>
      </x:c>
    </x:row>
    <x:row r="22" ht="60" customHeight="1">
      <x:c r="A22" s="2" t="s">
        <x:v>44</x:v>
      </x:c>
      <x:c r="B22" s="2">
        <x:v>5</x:v>
      </x:c>
      <x:c r="C22" s="2" t="s">
        <x:v>257</x:v>
      </x:c>
      <x:c r="D22" s="2" t="s">
        <x:v>258</x:v>
      </x:c>
      <x:c r="E22" s="2" t="s">
        <x:v>259</x:v>
      </x:c>
    </x:row>
    <x:row r="23" ht="60" customHeight="1">
      <x:c r="A23" s="2"/>
      <x:c r="B23" s="2"/>
      <x:c r="C23" s="2"/>
      <x:c r="D23" s="2"/>
      <x:c r="E23" s="2"/>
    </x:row>
    <x:row r="24" ht="60" customHeight="1">
      <x:c r="A24" s="2"/>
      <x:c r="B24" s="2"/>
      <x:c r="C24" s="2"/>
      <x:c r="D24" s="2"/>
      <x:c r="E24" s="2"/>
    </x:row>
    <x:row r="25" ht="60" customHeight="1">
      <x:c r="A25" s="2" t="s">
        <x:v>260</x:v>
      </x:c>
      <x:c r="B25" s="2"/>
      <x:c r="C25" s="2"/>
      <x:c r="D25" s="2"/>
      <x:c r="E25" s="2"/>
    </x:row>
    <x:row r="26" ht="60" customHeight="1">
      <x:c r="A26" s="2" t="s">
        <x:v>261</x:v>
      </x:c>
      <x:c r="B26" s="2" t="s">
        <x:v>262</x:v>
      </x:c>
      <x:c r="C26" s="2"/>
      <x:c r="D26" s="2"/>
      <x:c r="E26" s="2"/>
    </x:row>
    <x:row r="27" ht="60" customHeight="1">
      <x:c r="A27" s="2" t="s">
        <x:v>263</x:v>
      </x:c>
      <x:c r="B27" s="2" t="s">
        <x:v>264</x:v>
      </x:c>
      <x:c r="C27" s="2"/>
      <x:c r="D27" s="2"/>
      <x:c r="E27" s="2"/>
    </x:row>
    <x:row r="28" ht="60" customHeight="1">
      <x:c r="A28" s="2" t="str">
        <x:v>Packaging label-stock and adhesive specifications</x:v>
      </x:c>
      <x:c r="B28" s="2" t="str">
        <x:v>https://www.avery.com/blank/resources/compare-materials/</x:v>
      </x:c>
      <x:c r="C28" s="2"/>
      <x:c r="D28" s="2"/>
      <x:c r="E28" s="2"/>
    </x:row>
    <x:row r="29" ht="60" customHeight="1">
      <x:c r="A29" s="2" t="s">
        <x:v>265</x:v>
      </x:c>
      <x:c r="B29" s="2" t="s">
        <x:v>266</x:v>
      </x:c>
      <x:c r="C29" s="2"/>
      <x:c r="D29" s="2"/>
      <x:c r="E29" s="2"/>
    </x:row>
    <x:row r="30" ht="60" customHeight="1">
      <x:c r="A30" s="2" t="str">
        <x:v>Foil barrier and seal performance</x:v>
      </x:c>
      <x:c r="B30" s="2" t="str">
        <x:v>https://www.sterilizationpackaging.org/faqs/questions/impact-on-barrier-of-pinholes-in-foil-layer-of-a-lamination</x:v>
      </x:c>
      <x:c r="C30" s="2"/>
      <x:c r="D30" s="2"/>
      <x:c r="E30" s="2"/>
    </x:row>
    <x:row r="31" ht="60" customHeight="1">
      <x:c r="A31" s="2"/>
      <x:c r="B31" s="2"/>
      <x:c r="C31" s="2"/>
      <x:c r="D31" s="2"/>
      <x:c r="E31" s="2"/>
    </x:row>
    <x:row r="32" ht="60" customHeight="1">
      <x:c r="A32" s="2" t="str">
        <x:v>Mohsin: 260 diagnostic checks across 5 articles. Scored findings: 4 FAIL + 1 NEEDS IMPROVEMENT (distinct); other claim checks may remain NOT VERIFIED.</x:v>
      </x:c>
      <x:c r="B32" s="2"/>
      <x:c r="C32" s="2"/>
      <x:c r="D32" s="2"/>
      <x:c r="E32" s="2"/>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19" customWidth="1"/>
    <x:col min="2" max="3" width="28" customWidth="1"/>
    <x:col min="4" max="4" width="99" customWidth="1"/>
    <x:col min="5" max="5" width="104" customWidth="1"/>
    <x:col min="6" max="6" width="70" customWidth="1"/>
  </x:cols>
  <x:sheetData>
    <x:row r="1" ht="31.950000762939453" customHeight="1">
      <x:c r="A1" s="1" t="s">
        <x:v>267</x:v>
      </x:c>
      <x:c r="B1" s="1" t="s">
        <x:v>268</x:v>
      </x:c>
      <x:c r="C1" s="1" t="s">
        <x:v>269</x:v>
      </x:c>
      <x:c r="D1" s="1" t="s">
        <x:v>270</x:v>
      </x:c>
      <x:c r="E1" s="1" t="s">
        <x:v>271</x:v>
      </x:c>
      <x:c r="F1" s="1" t="s">
        <x:v>272</x:v>
      </x:c>
    </x:row>
    <x:row r="2" ht="60" customHeight="1">
      <x:c r="A2" s="2" t="s">
        <x:v>273</x:v>
      </x:c>
      <x:c r="B2" s="2" t="s">
        <x:v>274</x:v>
      </x:c>
      <x:c r="C2" s="2" t="s">
        <x:v>229</x:v>
      </x:c>
      <x:c r="D2" s="2" t="s">
        <x:v>275</x:v>
      </x:c>
      <x:c r="E2" s="2" t="s">
        <x:v>276</x:v>
      </x:c>
      <x:c r="F2" s="2" t="s">
        <x:v>262</x:v>
      </x:c>
    </x:row>
    <x:row r="3" ht="60" customHeight="1">
      <x:c r="A3" s="2" t="s">
        <x:v>277</x:v>
      </x:c>
      <x:c r="B3" s="2" t="s">
        <x:v>274</x:v>
      </x:c>
      <x:c r="C3" s="2" t="s">
        <x:v>229</x:v>
      </x:c>
      <x:c r="D3" s="2" t="s">
        <x:v>278</x:v>
      </x:c>
      <x:c r="E3" s="2" t="s">
        <x:v>279</x:v>
      </x:c>
      <x:c r="F3" s="2" t="s">
        <x:v>280</x:v>
      </x:c>
    </x:row>
    <x:row r="4" ht="60" customHeight="1">
      <x:c r="A4" s="2" t="s">
        <x:v>281</x:v>
      </x:c>
      <x:c r="B4" s="2" t="s">
        <x:v>274</x:v>
      </x:c>
      <x:c r="C4" s="2" t="s">
        <x:v>229</x:v>
      </x:c>
      <x:c r="D4" s="2" t="s">
        <x:v>282</x:v>
      </x:c>
      <x:c r="E4" s="2" t="s">
        <x:v>283</x:v>
      </x:c>
      <x:c r="F4" s="2" t="s">
        <x:v>264</x:v>
      </x:c>
    </x:row>
    <x:row r="5" ht="60" customHeight="1">
      <x:c r="A5" s="2" t="s">
        <x:v>284</x:v>
      </x:c>
      <x:c r="B5" s="2" t="s">
        <x:v>274</x:v>
      </x:c>
      <x:c r="C5" s="2" t="s">
        <x:v>285</x:v>
      </x:c>
      <x:c r="D5" s="2" t="s">
        <x:v>286</x:v>
      </x:c>
      <x:c r="E5" s="2" t="s">
        <x:v>287</x:v>
      </x:c>
      <x:c r="F5" s="2" t="s">
        <x:v>288</x:v>
      </x:c>
    </x:row>
    <x:row r="6" ht="60" customHeight="1">
      <x:c r="A6" s="2" t="s">
        <x:v>289</x:v>
      </x:c>
      <x:c r="B6" s="2" t="s">
        <x:v>274</x:v>
      </x:c>
      <x:c r="C6" s="2" t="s">
        <x:v>248</x:v>
      </x:c>
      <x:c r="D6" s="2" t="s">
        <x:v>290</x:v>
      </x:c>
      <x:c r="E6" s="2" t="s">
        <x:v>291</x:v>
      </x:c>
      <x:c r="F6" s="2" t="s">
        <x:v>262</x:v>
      </x:c>
    </x:row>
    <x:row r="7" ht="60" customHeight="1">
      <x:c r="A7" s="2" t="str">
        <x:v>MH-B01-01</x:v>
      </x:c>
      <x:c r="B7" s="2" t="str">
        <x:v>Article 1</x:v>
      </x:c>
      <x:c r="C7" s="40" t="str">
        <x:v>FAIL</x:v>
      </x:c>
      <x:c r="D7" s="2" t="str">
        <x:v>Replace with: In the comparison table, use the same adhesive choices for both: permanent, removable or specialty options. Explain that the right adhesive depends on the application surface and intended use—not the word “label” or “sticker.”</x:v>
      </x:c>
      <x:c r="E7" s="2" t="str">
        <x:v>Both labels and stickers can be manufactured with permanent, removable or specialty adhesives; purpose does not determine tack, and both can be decorative or informational. This is a real supplier-selection issue.</x:v>
      </x:c>
      <x:c r="F7" s="2" t="str">
        <x:v>https://www.avery.com/help/article/Avery-Adhesion</x:v>
      </x:c>
    </x:row>
    <x:row r="8" ht="60" customHeight="1">
      <x:c r="A8" s="2" t="str">
        <x:v>MH-B02-02</x:v>
      </x:c>
      <x:c r="B8" s="2" t="str">
        <x:v>Article 2</x:v>
      </x:c>
      <x:c r="C8" s="40" t="str">
        <x:v>FAIL</x:v>
      </x:c>
      <x:c r="D8" s="2" t="str">
        <x:v>Replace with: Aluminum-foil sachets can provide a high level of protection against moisture, oxygen and light when properly manufactured and sealed. Actual protection depends on the laminate structure and seal quality.</x:v>
      </x:c>
      <x:c r="E8" s="2" t="str">
        <x:v>Foil can provide excellent light/gas barriers in a suitable laminate but cannot guarantee total protection against every contaminant or leakage, especially with damaged film or seals.</x:v>
      </x:c>
      <x:c r="F8" s="2" t="str">
        <x:v>https://www.sterilizationpackaging.org/faqs/questions/impact-on-barrier-of-pinholes-in-foil-layer-of-a-lamination</x:v>
      </x:c>
    </x:row>
    <x:row r="9" ht="60" customHeight="1">
      <x:c r="A9" s="2" t="str">
        <x:v>MH-B04-01</x:v>
      </x:c>
      <x:c r="B9" s="2" t="str">
        <x:v>Article 4</x:v>
      </x:c>
      <x:c r="C9" s="40" t="str">
        <x:v>FAIL</x:v>
      </x:c>
      <x:c r="D9" s="2" t="str">
        <x:v>Replace with: Choose label material based on printer compatibility, the surface it will stick to and how the label will be used. Also consider adhesive strength, moisture exposure and durability.</x:v>
      </x:c>
      <x:c r="E9" s="2" t="str">
        <x:v>Media selection also depends on exposure, surface energy, adhesive, handling, durability and intended service life. The article itself later acknowledges some of these factors, making “solely” materially misleading.</x:v>
      </x:c>
      <x:c r="F9" s="2" t="str">
        <x:v>https://www.avery.com/blank/resources/compare-materials/</x:v>
      </x:c>
    </x:row>
    <x:row r="10" ht="85.05000305175781" customHeight="1">
      <x:c r="A10" s="2" t="str">
        <x:v>MH-B05-01</x:v>
      </x:c>
      <x:c r="B10" s="2" t="str">
        <x:v>Article 5</x:v>
      </x:c>
      <x:c r="C10" s="40" t="str">
        <x:v>FAIL</x:v>
      </x:c>
      <x:c r="D10" s="2" t="str">
        <x:v>Replace with: Stock and custom describe the type of box; wholesale describes the quantity purchased. Either type can be ordered in bulk, so compare price per box, minimum order quantity and lead time.</x:v>
      </x:c>
      <x:c r="E10" s="2" t="str">
        <x:v>Stock versus custom describes product configuration; wholesale describes order quantity or purchasing terms. Treating all three as mutually exclusive purchasing options can mislead readers.</x:v>
      </x:c>
      <x:c r="F10" s="2" t="str">
        <x:v>https://print247.us/post/how-to-choose-apparel-gift-boxes-for-your-clothing-brand</x:v>
      </x:c>
    </x:row>
    <x:row r="11" ht="85.05000305175781" customHeight="1">
      <x:c r="A11" s="2" t="str">
        <x:v>MH-B05-02</x:v>
      </x:c>
      <x:c r="B11" s="2" t="str">
        <x:v>Article 5</x:v>
      </x:c>
      <x:c r="C11" s="42" t="str">
        <x:v>NEEDS IMPROVEMENT</x:v>
      </x:c>
      <x:c r="D11" s="2" t="str">
        <x:v>Replace with: Rigid boxes are a popular option for delicate or premium garments, but sturdy folding boxes with tissue or protective inserts may also provide suitable protection.</x:v>
      </x:c>
      <x:c r="E11" s="2" t="str">
        <x:v>Delicate apparel can be protected with suitable folding cartons, tissue, inserts or outer shippers in some use cases. A rigid presentation box is a choice, not universal necessity.</x:v>
      </x:c>
      <x:c r="F11" s="2" t="str">
        <x:v>https://print247.us/post/how-to-choose-apparel-gift-boxes-for-your-clothing-brand</x:v>
      </x:c>
    </x:row>
    <x:row r="12" ht="85.05000305175781" customHeight="1">
      <x:c r="A12" s="2" t="str">
        <x:v>MOHSIN-TRAINING</x:v>
      </x:c>
      <x:c r="B12" s="2" t="str">
        <x:v>5 articles</x:v>
      </x:c>
      <x:c r="C12" s="36" t="str">
        <x:v>TRAINING</x:v>
      </x:c>
      <x:c r="D12" s="2" t="str">
        <x:v>Use Mini Guide: three themes and four exact red-item replacements</x:v>
      </x:c>
      <x:c r="E12" s="2" t="str">
        <x:v>Only retained, distinct findings inform current scoring; do not reinstate excluded items.</x:v>
      </x:c>
      <x:c r="F12" s="2" t="str">
        <x:v>Mini Guide</x:v>
      </x:c>
    </x:row>
    <x:row r="13" ht="85.05000305175781" customHeight="1">
      <x:c r="A13" s="2"/>
      <x:c r="B13" s="2"/>
      <x:c r="C13" s="2"/>
      <x:c r="D13" s="2"/>
      <x:c r="E13" s="2"/>
      <x:c r="F13" s="2"/>
    </x:row>
    <x:row r="14" ht="85.05000305175781" customHeight="1">
      <x:c r="A14" s="2"/>
      <x:c r="B14" s="2"/>
      <x:c r="C14" s="2"/>
      <x:c r="D14" s="2"/>
      <x:c r="E14" s="2"/>
      <x:c r="F14" s="2"/>
    </x:row>
    <x:row r="15" ht="85.05000305175781" customHeight="1">
      <x:c r="A15" s="2"/>
      <x:c r="B15" s="2"/>
      <x:c r="C15" s="2"/>
      <x:c r="D15" s="2"/>
      <x:c r="E15" s="2"/>
      <x:c r="F15" s="2"/>
    </x:row>
    <x:row r="16" ht="85.05000305175781" customHeight="1">
      <x:c r="A16" s="2"/>
      <x:c r="B16" s="2"/>
      <x:c r="C16" s="2"/>
      <x:c r="D16" s="2"/>
      <x:c r="E16" s="2"/>
      <x:c r="F16" s="2"/>
    </x:row>
    <x:row r="17" ht="27.600000381469727">
      <x:c r="A17" s="2"/>
      <x:c r="B17" s="2"/>
      <x:c r="C17" s="2"/>
      <x:c r="D17" s="2"/>
      <x:c r="E17" s="2"/>
      <x:c r="F17" s="2"/>
    </x:row>
  </x:sheetData>
  <x:pageMargins left="0.7" right="0.7" top="0.75" bottom="0.75" header="0.3" footer="0.3"/>
</x:worksheet>
</file>